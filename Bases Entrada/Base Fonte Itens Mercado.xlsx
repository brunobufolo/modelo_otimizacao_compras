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ÓDIGOS PYTHON - Github\Bases Entrada\"/>
    </mc:Choice>
  </mc:AlternateContent>
  <xr:revisionPtr revIDLastSave="0" documentId="13_ncr:1_{72B6E91B-E7A7-4B88-A9AD-1AC909EC9834}" xr6:coauthVersionLast="47" xr6:coauthVersionMax="47" xr10:uidLastSave="{00000000-0000-0000-0000-000000000000}"/>
  <bookViews>
    <workbookView xWindow="-108" yWindow="-108" windowWidth="23256" windowHeight="12456" tabRatio="728" xr2:uid="{00000000-000D-0000-FFFF-FFFF00000000}"/>
  </bookViews>
  <sheets>
    <sheet name="Base Mercado" sheetId="1" r:id="rId1"/>
    <sheet name="Pontos de Partida" sheetId="4" r:id="rId2"/>
    <sheet name="Produtos &amp; Marcas" sheetId="5" r:id="rId3"/>
    <sheet name="Produtos &amp; Mercados" sheetId="7" r:id="rId4"/>
    <sheet name="Compras" sheetId="6" r:id="rId5"/>
    <sheet name="Base Produtos OLD" sheetId="2" state="hidden" r:id="rId6"/>
    <sheet name="Lista Produtos Cliente OLD" sheetId="3" state="hidden" r:id="rId7"/>
  </sheets>
  <definedNames>
    <definedName name="_xlnm._FilterDatabase" localSheetId="4" hidden="1">Compras!$A$1:$F$913</definedName>
    <definedName name="_xlnm._FilterDatabase" localSheetId="2" hidden="1">'Produtos &amp; Marcas'!$A$1:$F$40</definedName>
    <definedName name="_xlnm._FilterDatabase" localSheetId="3" hidden="1">'Produtos &amp; Mercados'!$A$1:$L$274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3" i="6" l="1"/>
  <c r="C913" i="6"/>
  <c r="F912" i="6"/>
  <c r="C912" i="6"/>
  <c r="F911" i="6"/>
  <c r="C911" i="6"/>
  <c r="F910" i="6"/>
  <c r="C910" i="6"/>
  <c r="F909" i="6"/>
  <c r="C909" i="6"/>
  <c r="F908" i="6"/>
  <c r="C908" i="6"/>
  <c r="F907" i="6"/>
  <c r="C907" i="6"/>
  <c r="F906" i="6"/>
  <c r="C906" i="6"/>
  <c r="F905" i="6"/>
  <c r="C905" i="6"/>
  <c r="F904" i="6"/>
  <c r="C904" i="6"/>
  <c r="F903" i="6"/>
  <c r="C903" i="6"/>
  <c r="F902" i="6"/>
  <c r="C902" i="6"/>
  <c r="F901" i="6"/>
  <c r="C901" i="6"/>
  <c r="F900" i="6"/>
  <c r="C900" i="6"/>
  <c r="F899" i="6"/>
  <c r="C899" i="6"/>
  <c r="F898" i="6"/>
  <c r="C898" i="6"/>
  <c r="F897" i="6"/>
  <c r="C897" i="6"/>
  <c r="F896" i="6"/>
  <c r="C896" i="6"/>
  <c r="F895" i="6"/>
  <c r="C895" i="6"/>
  <c r="F894" i="6"/>
  <c r="C894" i="6"/>
  <c r="F893" i="6"/>
  <c r="C893" i="6"/>
  <c r="F892" i="6"/>
  <c r="C892" i="6"/>
  <c r="F891" i="6"/>
  <c r="C891" i="6"/>
  <c r="F890" i="6"/>
  <c r="C890" i="6"/>
  <c r="F889" i="6"/>
  <c r="C889" i="6"/>
  <c r="F888" i="6"/>
  <c r="C888" i="6"/>
  <c r="F887" i="6"/>
  <c r="C887" i="6"/>
  <c r="F886" i="6"/>
  <c r="C886" i="6"/>
  <c r="F885" i="6"/>
  <c r="C885" i="6"/>
  <c r="F884" i="6"/>
  <c r="C884" i="6"/>
  <c r="F883" i="6"/>
  <c r="C883" i="6"/>
  <c r="F882" i="6"/>
  <c r="C882" i="6"/>
  <c r="F881" i="6"/>
  <c r="C881" i="6"/>
  <c r="F880" i="6"/>
  <c r="C880" i="6"/>
  <c r="F879" i="6"/>
  <c r="C879" i="6"/>
  <c r="F878" i="6"/>
  <c r="C878" i="6"/>
  <c r="F877" i="6"/>
  <c r="C877" i="6"/>
  <c r="F876" i="6"/>
  <c r="C876" i="6"/>
  <c r="F875" i="6"/>
  <c r="C875" i="6"/>
  <c r="F874" i="6"/>
  <c r="C874" i="6"/>
  <c r="F873" i="6"/>
  <c r="C873" i="6"/>
  <c r="F872" i="6"/>
  <c r="C872" i="6"/>
  <c r="F871" i="6"/>
  <c r="C871" i="6"/>
  <c r="F870" i="6"/>
  <c r="C870" i="6"/>
  <c r="F869" i="6"/>
  <c r="C869" i="6"/>
  <c r="F868" i="6"/>
  <c r="C868" i="6"/>
  <c r="F867" i="6"/>
  <c r="C867" i="6"/>
  <c r="F866" i="6"/>
  <c r="C866" i="6"/>
  <c r="F865" i="6"/>
  <c r="C865" i="6"/>
  <c r="F864" i="6"/>
  <c r="C864" i="6"/>
  <c r="F863" i="6"/>
  <c r="C863" i="6"/>
  <c r="F862" i="6"/>
  <c r="C862" i="6"/>
  <c r="F861" i="6"/>
  <c r="C861" i="6"/>
  <c r="F860" i="6"/>
  <c r="C860" i="6"/>
  <c r="F859" i="6"/>
  <c r="C859" i="6"/>
  <c r="F858" i="6"/>
  <c r="C858" i="6"/>
  <c r="F857" i="6"/>
  <c r="C857" i="6"/>
  <c r="F856" i="6"/>
  <c r="C856" i="6"/>
  <c r="F855" i="6"/>
  <c r="C855" i="6"/>
  <c r="F854" i="6"/>
  <c r="C854" i="6"/>
  <c r="F853" i="6"/>
  <c r="C853" i="6"/>
  <c r="F852" i="6"/>
  <c r="C852" i="6"/>
  <c r="F851" i="6"/>
  <c r="C851" i="6"/>
  <c r="F850" i="6"/>
  <c r="C850" i="6"/>
  <c r="F849" i="6"/>
  <c r="C849" i="6"/>
  <c r="F848" i="6"/>
  <c r="C848" i="6"/>
  <c r="F847" i="6"/>
  <c r="C847" i="6"/>
  <c r="F846" i="6"/>
  <c r="C846" i="6"/>
  <c r="F845" i="6"/>
  <c r="C845" i="6"/>
  <c r="F844" i="6"/>
  <c r="C844" i="6"/>
  <c r="F843" i="6"/>
  <c r="C843" i="6"/>
  <c r="F842" i="6"/>
  <c r="C842" i="6"/>
  <c r="F841" i="6"/>
  <c r="C841" i="6"/>
  <c r="F840" i="6"/>
  <c r="C840" i="6"/>
  <c r="F839" i="6"/>
  <c r="C839" i="6"/>
  <c r="F838" i="6"/>
  <c r="C838" i="6"/>
  <c r="F837" i="6"/>
  <c r="C837" i="6"/>
  <c r="F836" i="6"/>
  <c r="C836" i="6"/>
  <c r="F835" i="6"/>
  <c r="C835" i="6"/>
  <c r="F834" i="6"/>
  <c r="C834" i="6"/>
  <c r="F833" i="6"/>
  <c r="C833" i="6"/>
  <c r="F832" i="6"/>
  <c r="C832" i="6"/>
  <c r="F831" i="6"/>
  <c r="C831" i="6"/>
  <c r="F830" i="6"/>
  <c r="C830" i="6"/>
  <c r="F829" i="6"/>
  <c r="C829" i="6"/>
  <c r="F828" i="6"/>
  <c r="C828" i="6"/>
  <c r="F827" i="6"/>
  <c r="C827" i="6"/>
  <c r="F826" i="6"/>
  <c r="C826" i="6"/>
  <c r="F825" i="6"/>
  <c r="C825" i="6"/>
  <c r="F824" i="6"/>
  <c r="C824" i="6"/>
  <c r="F823" i="6"/>
  <c r="C823" i="6"/>
  <c r="F822" i="6"/>
  <c r="C822" i="6"/>
  <c r="F821" i="6"/>
  <c r="C821" i="6"/>
  <c r="F820" i="6"/>
  <c r="C820" i="6"/>
  <c r="F819" i="6"/>
  <c r="C819" i="6"/>
  <c r="F818" i="6"/>
  <c r="C818" i="6"/>
  <c r="F817" i="6"/>
  <c r="C817" i="6"/>
  <c r="F816" i="6"/>
  <c r="C816" i="6"/>
  <c r="F815" i="6"/>
  <c r="C815" i="6"/>
  <c r="F814" i="6"/>
  <c r="C814" i="6"/>
  <c r="F813" i="6"/>
  <c r="C813" i="6"/>
  <c r="F812" i="6"/>
  <c r="C812" i="6"/>
  <c r="F811" i="6"/>
  <c r="C811" i="6"/>
  <c r="F810" i="6"/>
  <c r="C810" i="6"/>
  <c r="F809" i="6"/>
  <c r="C809" i="6"/>
  <c r="F808" i="6"/>
  <c r="C808" i="6"/>
  <c r="F807" i="6"/>
  <c r="C807" i="6"/>
  <c r="F806" i="6"/>
  <c r="C806" i="6"/>
  <c r="F805" i="6"/>
  <c r="C805" i="6"/>
  <c r="F804" i="6"/>
  <c r="C804" i="6"/>
  <c r="F803" i="6"/>
  <c r="C803" i="6"/>
  <c r="F802" i="6"/>
  <c r="C802" i="6"/>
  <c r="F801" i="6"/>
  <c r="C801" i="6"/>
  <c r="F800" i="6"/>
  <c r="C800" i="6"/>
  <c r="F799" i="6"/>
  <c r="C799" i="6"/>
  <c r="F798" i="6"/>
  <c r="C798" i="6"/>
  <c r="F797" i="6"/>
  <c r="C797" i="6"/>
  <c r="F796" i="6"/>
  <c r="C796" i="6"/>
  <c r="F795" i="6"/>
  <c r="C795" i="6"/>
  <c r="F794" i="6"/>
  <c r="C794" i="6"/>
  <c r="F793" i="6"/>
  <c r="C793" i="6"/>
  <c r="F792" i="6"/>
  <c r="C792" i="6"/>
  <c r="F791" i="6"/>
  <c r="C791" i="6"/>
  <c r="F790" i="6"/>
  <c r="C790" i="6"/>
  <c r="F789" i="6"/>
  <c r="C789" i="6"/>
  <c r="F788" i="6"/>
  <c r="C788" i="6"/>
  <c r="F787" i="6"/>
  <c r="C787" i="6"/>
  <c r="F786" i="6"/>
  <c r="C786" i="6"/>
  <c r="F785" i="6"/>
  <c r="C785" i="6"/>
  <c r="F784" i="6"/>
  <c r="C784" i="6"/>
  <c r="F783" i="6"/>
  <c r="C783" i="6"/>
  <c r="F782" i="6"/>
  <c r="C782" i="6"/>
  <c r="F781" i="6"/>
  <c r="C781" i="6"/>
  <c r="F780" i="6"/>
  <c r="C780" i="6"/>
  <c r="F779" i="6"/>
  <c r="C779" i="6"/>
  <c r="F778" i="6"/>
  <c r="C778" i="6"/>
  <c r="F777" i="6"/>
  <c r="C777" i="6"/>
  <c r="F776" i="6"/>
  <c r="C776" i="6"/>
  <c r="F775" i="6"/>
  <c r="C775" i="6"/>
  <c r="F774" i="6"/>
  <c r="C774" i="6"/>
  <c r="F773" i="6"/>
  <c r="C773" i="6"/>
  <c r="F772" i="6"/>
  <c r="C772" i="6"/>
  <c r="F771" i="6"/>
  <c r="C771" i="6"/>
  <c r="F770" i="6"/>
  <c r="C770" i="6"/>
  <c r="F769" i="6"/>
  <c r="C769" i="6"/>
  <c r="F768" i="6"/>
  <c r="C768" i="6"/>
  <c r="F767" i="6"/>
  <c r="C767" i="6"/>
  <c r="F766" i="6"/>
  <c r="C766" i="6"/>
  <c r="F765" i="6"/>
  <c r="C765" i="6"/>
  <c r="F764" i="6"/>
  <c r="C764" i="6"/>
  <c r="F763" i="6"/>
  <c r="C763" i="6"/>
  <c r="F762" i="6"/>
  <c r="C762" i="6"/>
  <c r="F761" i="6"/>
  <c r="C761" i="6"/>
  <c r="F760" i="6"/>
  <c r="C760" i="6"/>
  <c r="F759" i="6"/>
  <c r="C759" i="6"/>
  <c r="F758" i="6"/>
  <c r="C758" i="6"/>
  <c r="F757" i="6"/>
  <c r="C757" i="6"/>
  <c r="F756" i="6"/>
  <c r="C756" i="6"/>
  <c r="F755" i="6"/>
  <c r="C755" i="6"/>
  <c r="F754" i="6"/>
  <c r="C754" i="6"/>
  <c r="F753" i="6"/>
  <c r="C753" i="6"/>
  <c r="F752" i="6"/>
  <c r="C752" i="6"/>
  <c r="F751" i="6"/>
  <c r="C751" i="6"/>
  <c r="F750" i="6"/>
  <c r="C750" i="6"/>
  <c r="F749" i="6"/>
  <c r="C749" i="6"/>
  <c r="F748" i="6"/>
  <c r="C748" i="6"/>
  <c r="F747" i="6"/>
  <c r="C747" i="6"/>
  <c r="F746" i="6"/>
  <c r="C746" i="6"/>
  <c r="F745" i="6"/>
  <c r="C745" i="6"/>
  <c r="F744" i="6"/>
  <c r="C744" i="6"/>
  <c r="F743" i="6"/>
  <c r="C743" i="6"/>
  <c r="F742" i="6"/>
  <c r="C742" i="6"/>
  <c r="F741" i="6"/>
  <c r="C741" i="6"/>
  <c r="F740" i="6"/>
  <c r="C740" i="6"/>
  <c r="F739" i="6"/>
  <c r="C739" i="6"/>
  <c r="F738" i="6"/>
  <c r="C738" i="6"/>
  <c r="F737" i="6"/>
  <c r="C737" i="6"/>
  <c r="F736" i="6"/>
  <c r="C736" i="6"/>
  <c r="F735" i="6"/>
  <c r="C735" i="6"/>
  <c r="F734" i="6"/>
  <c r="C734" i="6"/>
  <c r="F733" i="6"/>
  <c r="C733" i="6"/>
  <c r="F732" i="6"/>
  <c r="C732" i="6"/>
  <c r="F731" i="6"/>
  <c r="C731" i="6"/>
  <c r="F730" i="6"/>
  <c r="C730" i="6"/>
  <c r="F729" i="6"/>
  <c r="C729" i="6"/>
  <c r="F728" i="6"/>
  <c r="C728" i="6"/>
  <c r="F727" i="6"/>
  <c r="C727" i="6"/>
  <c r="F726" i="6"/>
  <c r="C726" i="6"/>
  <c r="F725" i="6"/>
  <c r="C725" i="6"/>
  <c r="F724" i="6"/>
  <c r="C724" i="6"/>
  <c r="F723" i="6"/>
  <c r="C723" i="6"/>
  <c r="F722" i="6"/>
  <c r="C722" i="6"/>
  <c r="F721" i="6"/>
  <c r="C721" i="6"/>
  <c r="F720" i="6"/>
  <c r="C720" i="6"/>
  <c r="F719" i="6"/>
  <c r="C719" i="6"/>
  <c r="F718" i="6"/>
  <c r="C718" i="6"/>
  <c r="F717" i="6"/>
  <c r="C717" i="6"/>
  <c r="F716" i="6"/>
  <c r="C716" i="6"/>
  <c r="F715" i="6"/>
  <c r="C715" i="6"/>
  <c r="F714" i="6"/>
  <c r="C714" i="6"/>
  <c r="F713" i="6"/>
  <c r="C713" i="6"/>
  <c r="F712" i="6"/>
  <c r="C712" i="6"/>
  <c r="F711" i="6"/>
  <c r="C711" i="6"/>
  <c r="F710" i="6"/>
  <c r="C710" i="6"/>
  <c r="F709" i="6"/>
  <c r="C709" i="6"/>
  <c r="F708" i="6"/>
  <c r="C708" i="6"/>
  <c r="F707" i="6"/>
  <c r="C707" i="6"/>
  <c r="F706" i="6"/>
  <c r="C706" i="6"/>
  <c r="F705" i="6"/>
  <c r="C705" i="6"/>
  <c r="F704" i="6"/>
  <c r="C704" i="6"/>
  <c r="F703" i="6"/>
  <c r="C703" i="6"/>
  <c r="F702" i="6"/>
  <c r="C702" i="6"/>
  <c r="F701" i="6"/>
  <c r="C701" i="6"/>
  <c r="F700" i="6"/>
  <c r="C700" i="6"/>
  <c r="F699" i="6"/>
  <c r="C699" i="6"/>
  <c r="F698" i="6"/>
  <c r="C698" i="6"/>
  <c r="F697" i="6"/>
  <c r="C697" i="6"/>
  <c r="F696" i="6"/>
  <c r="C696" i="6"/>
  <c r="F695" i="6"/>
  <c r="C695" i="6"/>
  <c r="F694" i="6"/>
  <c r="C694" i="6"/>
  <c r="F693" i="6"/>
  <c r="C693" i="6"/>
  <c r="F692" i="6"/>
  <c r="C692" i="6"/>
  <c r="F691" i="6"/>
  <c r="C691" i="6"/>
  <c r="F690" i="6"/>
  <c r="C690" i="6"/>
  <c r="F689" i="6"/>
  <c r="C689" i="6"/>
  <c r="F688" i="6"/>
  <c r="C688" i="6"/>
  <c r="F687" i="6"/>
  <c r="C687" i="6"/>
  <c r="F686" i="6"/>
  <c r="C686" i="6"/>
  <c r="F685" i="6"/>
  <c r="C685" i="6"/>
  <c r="F684" i="6"/>
  <c r="C684" i="6"/>
  <c r="F683" i="6"/>
  <c r="C683" i="6"/>
  <c r="F682" i="6"/>
  <c r="C682" i="6"/>
  <c r="F681" i="6"/>
  <c r="C681" i="6"/>
  <c r="F680" i="6"/>
  <c r="C680" i="6"/>
  <c r="F679" i="6"/>
  <c r="C679" i="6"/>
  <c r="F678" i="6"/>
  <c r="C678" i="6"/>
  <c r="F677" i="6"/>
  <c r="C677" i="6"/>
  <c r="F676" i="6"/>
  <c r="C676" i="6"/>
  <c r="F675" i="6"/>
  <c r="C675" i="6"/>
  <c r="F674" i="6"/>
  <c r="C674" i="6"/>
  <c r="F673" i="6"/>
  <c r="C673" i="6"/>
  <c r="F672" i="6"/>
  <c r="C672" i="6"/>
  <c r="F671" i="6"/>
  <c r="C671" i="6"/>
  <c r="F670" i="6"/>
  <c r="C670" i="6"/>
  <c r="F669" i="6"/>
  <c r="C669" i="6"/>
  <c r="F668" i="6"/>
  <c r="C668" i="6"/>
  <c r="F667" i="6"/>
  <c r="C667" i="6"/>
  <c r="F666" i="6"/>
  <c r="C666" i="6"/>
  <c r="F665" i="6"/>
  <c r="C665" i="6"/>
  <c r="F664" i="6"/>
  <c r="C664" i="6"/>
  <c r="F663" i="6"/>
  <c r="C663" i="6"/>
  <c r="F662" i="6"/>
  <c r="C662" i="6"/>
  <c r="F661" i="6"/>
  <c r="C661" i="6"/>
  <c r="F660" i="6"/>
  <c r="C660" i="6"/>
  <c r="F659" i="6"/>
  <c r="C659" i="6"/>
  <c r="F658" i="6"/>
  <c r="C658" i="6"/>
  <c r="F657" i="6"/>
  <c r="C657" i="6"/>
  <c r="F656" i="6"/>
  <c r="C656" i="6"/>
  <c r="F655" i="6"/>
  <c r="C655" i="6"/>
  <c r="F654" i="6"/>
  <c r="C654" i="6"/>
  <c r="F653" i="6"/>
  <c r="C653" i="6"/>
  <c r="F652" i="6"/>
  <c r="C652" i="6"/>
  <c r="F651" i="6"/>
  <c r="C651" i="6"/>
  <c r="F650" i="6"/>
  <c r="C650" i="6"/>
  <c r="F649" i="6"/>
  <c r="C649" i="6"/>
  <c r="F648" i="6"/>
  <c r="C648" i="6"/>
  <c r="F647" i="6"/>
  <c r="C647" i="6"/>
  <c r="F646" i="6"/>
  <c r="C646" i="6"/>
  <c r="F645" i="6"/>
  <c r="C645" i="6"/>
  <c r="F644" i="6"/>
  <c r="C644" i="6"/>
  <c r="F643" i="6"/>
  <c r="C643" i="6"/>
  <c r="F642" i="6"/>
  <c r="C642" i="6"/>
  <c r="F641" i="6"/>
  <c r="C641" i="6"/>
  <c r="F640" i="6"/>
  <c r="C640" i="6"/>
  <c r="F639" i="6"/>
  <c r="C639" i="6"/>
  <c r="F638" i="6"/>
  <c r="C638" i="6"/>
  <c r="F637" i="6"/>
  <c r="C637" i="6"/>
  <c r="F636" i="6"/>
  <c r="C636" i="6"/>
  <c r="F635" i="6"/>
  <c r="C635" i="6"/>
  <c r="F634" i="6"/>
  <c r="C634" i="6"/>
  <c r="F633" i="6"/>
  <c r="C633" i="6"/>
  <c r="F632" i="6"/>
  <c r="C632" i="6"/>
  <c r="F631" i="6"/>
  <c r="C631" i="6"/>
  <c r="F630" i="6"/>
  <c r="C630" i="6"/>
  <c r="F629" i="6"/>
  <c r="C629" i="6"/>
  <c r="F628" i="6"/>
  <c r="C628" i="6"/>
  <c r="F627" i="6"/>
  <c r="C627" i="6"/>
  <c r="F626" i="6"/>
  <c r="C626" i="6"/>
  <c r="F625" i="6"/>
  <c r="C625" i="6"/>
  <c r="F624" i="6"/>
  <c r="C624" i="6"/>
  <c r="F623" i="6"/>
  <c r="C623" i="6"/>
  <c r="F622" i="6"/>
  <c r="C622" i="6"/>
  <c r="F621" i="6"/>
  <c r="C621" i="6"/>
  <c r="F620" i="6"/>
  <c r="C620" i="6"/>
  <c r="F619" i="6"/>
  <c r="C619" i="6"/>
  <c r="F618" i="6"/>
  <c r="C618" i="6"/>
  <c r="F617" i="6"/>
  <c r="C617" i="6"/>
  <c r="F616" i="6"/>
  <c r="C616" i="6"/>
  <c r="F615" i="6"/>
  <c r="C615" i="6"/>
  <c r="F614" i="6"/>
  <c r="C614" i="6"/>
  <c r="F613" i="6"/>
  <c r="C613" i="6"/>
  <c r="F612" i="6"/>
  <c r="C612" i="6"/>
  <c r="F611" i="6"/>
  <c r="C611" i="6"/>
  <c r="F610" i="6"/>
  <c r="C610" i="6"/>
  <c r="F609" i="6"/>
  <c r="C609" i="6"/>
  <c r="F608" i="6"/>
  <c r="C608" i="6"/>
  <c r="F607" i="6"/>
  <c r="C607" i="6"/>
  <c r="F606" i="6"/>
  <c r="C606" i="6"/>
  <c r="F605" i="6"/>
  <c r="C605" i="6"/>
  <c r="F604" i="6"/>
  <c r="C604" i="6"/>
  <c r="F603" i="6"/>
  <c r="C603" i="6"/>
  <c r="F602" i="6"/>
  <c r="C602" i="6"/>
  <c r="F601" i="6"/>
  <c r="C601" i="6"/>
  <c r="F600" i="6"/>
  <c r="C600" i="6"/>
  <c r="F599" i="6"/>
  <c r="C599" i="6"/>
  <c r="F598" i="6"/>
  <c r="C598" i="6"/>
  <c r="F597" i="6"/>
  <c r="C597" i="6"/>
  <c r="F596" i="6"/>
  <c r="C596" i="6"/>
  <c r="F595" i="6"/>
  <c r="C595" i="6"/>
  <c r="F594" i="6"/>
  <c r="C594" i="6"/>
  <c r="F593" i="6"/>
  <c r="C593" i="6"/>
  <c r="F592" i="6"/>
  <c r="C592" i="6"/>
  <c r="F591" i="6"/>
  <c r="C591" i="6"/>
  <c r="F590" i="6"/>
  <c r="C590" i="6"/>
  <c r="F589" i="6"/>
  <c r="C589" i="6"/>
  <c r="F588" i="6"/>
  <c r="C588" i="6"/>
  <c r="F587" i="6"/>
  <c r="C587" i="6"/>
  <c r="F586" i="6"/>
  <c r="C586" i="6"/>
  <c r="F585" i="6"/>
  <c r="C585" i="6"/>
  <c r="F584" i="6"/>
  <c r="C584" i="6"/>
  <c r="F583" i="6"/>
  <c r="C583" i="6"/>
  <c r="F582" i="6"/>
  <c r="C582" i="6"/>
  <c r="F581" i="6"/>
  <c r="C581" i="6"/>
  <c r="F580" i="6"/>
  <c r="C580" i="6"/>
  <c r="F579" i="6"/>
  <c r="C579" i="6"/>
  <c r="F578" i="6"/>
  <c r="C578" i="6"/>
  <c r="F577" i="6"/>
  <c r="C577" i="6"/>
  <c r="F576" i="6"/>
  <c r="C576" i="6"/>
  <c r="F575" i="6"/>
  <c r="C575" i="6"/>
  <c r="F574" i="6"/>
  <c r="C574" i="6"/>
  <c r="F573" i="6"/>
  <c r="C573" i="6"/>
  <c r="F572" i="6"/>
  <c r="C572" i="6"/>
  <c r="F571" i="6"/>
  <c r="C571" i="6"/>
  <c r="F570" i="6"/>
  <c r="C570" i="6"/>
  <c r="F569" i="6"/>
  <c r="C569" i="6"/>
  <c r="F568" i="6"/>
  <c r="C568" i="6"/>
  <c r="F567" i="6"/>
  <c r="C567" i="6"/>
  <c r="F566" i="6"/>
  <c r="C566" i="6"/>
  <c r="F565" i="6"/>
  <c r="C565" i="6"/>
  <c r="F564" i="6"/>
  <c r="C564" i="6"/>
  <c r="F563" i="6"/>
  <c r="C563" i="6"/>
  <c r="F562" i="6"/>
  <c r="C562" i="6"/>
  <c r="F561" i="6"/>
  <c r="C561" i="6"/>
  <c r="F560" i="6"/>
  <c r="C560" i="6"/>
  <c r="F559" i="6"/>
  <c r="C559" i="6"/>
  <c r="F558" i="6"/>
  <c r="C558" i="6"/>
  <c r="F557" i="6"/>
  <c r="C557" i="6"/>
  <c r="F556" i="6"/>
  <c r="C556" i="6"/>
  <c r="F555" i="6"/>
  <c r="C555" i="6"/>
  <c r="F554" i="6"/>
  <c r="C554" i="6"/>
  <c r="F553" i="6"/>
  <c r="C553" i="6"/>
  <c r="F552" i="6"/>
  <c r="C552" i="6"/>
  <c r="F551" i="6"/>
  <c r="C551" i="6"/>
  <c r="F550" i="6"/>
  <c r="C550" i="6"/>
  <c r="F549" i="6"/>
  <c r="C549" i="6"/>
  <c r="F548" i="6"/>
  <c r="C548" i="6"/>
  <c r="F547" i="6"/>
  <c r="C547" i="6"/>
  <c r="F546" i="6"/>
  <c r="C546" i="6"/>
  <c r="F545" i="6"/>
  <c r="C545" i="6"/>
  <c r="F544" i="6"/>
  <c r="C544" i="6"/>
  <c r="F543" i="6"/>
  <c r="C543" i="6"/>
  <c r="F542" i="6"/>
  <c r="C542" i="6"/>
  <c r="F541" i="6"/>
  <c r="C541" i="6"/>
  <c r="F540" i="6"/>
  <c r="C540" i="6"/>
  <c r="F539" i="6"/>
  <c r="C539" i="6"/>
  <c r="F538" i="6"/>
  <c r="C538" i="6"/>
  <c r="F537" i="6"/>
  <c r="C537" i="6"/>
  <c r="F536" i="6"/>
  <c r="C536" i="6"/>
  <c r="F535" i="6"/>
  <c r="C535" i="6"/>
  <c r="F534" i="6"/>
  <c r="C534" i="6"/>
  <c r="F533" i="6"/>
  <c r="C533" i="6"/>
  <c r="F532" i="6"/>
  <c r="C532" i="6"/>
  <c r="F531" i="6"/>
  <c r="C531" i="6"/>
  <c r="F530" i="6"/>
  <c r="C530" i="6"/>
  <c r="F529" i="6"/>
  <c r="C529" i="6"/>
  <c r="F528" i="6"/>
  <c r="C528" i="6"/>
  <c r="F527" i="6"/>
  <c r="C527" i="6"/>
  <c r="F526" i="6"/>
  <c r="C526" i="6"/>
  <c r="F525" i="6"/>
  <c r="C525" i="6"/>
  <c r="F524" i="6"/>
  <c r="C524" i="6"/>
  <c r="F523" i="6"/>
  <c r="C523" i="6"/>
  <c r="F522" i="6"/>
  <c r="C522" i="6"/>
  <c r="F521" i="6"/>
  <c r="C521" i="6"/>
  <c r="F520" i="6"/>
  <c r="C520" i="6"/>
  <c r="F519" i="6"/>
  <c r="C519" i="6"/>
  <c r="F518" i="6"/>
  <c r="C518" i="6"/>
  <c r="F517" i="6"/>
  <c r="C517" i="6"/>
  <c r="F516" i="6"/>
  <c r="C516" i="6"/>
  <c r="F515" i="6"/>
  <c r="C515" i="6"/>
  <c r="F514" i="6"/>
  <c r="C514" i="6"/>
  <c r="F513" i="6"/>
  <c r="C513" i="6"/>
  <c r="F512" i="6"/>
  <c r="C512" i="6"/>
  <c r="F511" i="6"/>
  <c r="C511" i="6"/>
  <c r="F510" i="6"/>
  <c r="C510" i="6"/>
  <c r="F509" i="6"/>
  <c r="C509" i="6"/>
  <c r="F508" i="6"/>
  <c r="C508" i="6"/>
  <c r="F507" i="6"/>
  <c r="C507" i="6"/>
  <c r="F506" i="6"/>
  <c r="C506" i="6"/>
  <c r="F505" i="6"/>
  <c r="C505" i="6"/>
  <c r="F504" i="6"/>
  <c r="C504" i="6"/>
  <c r="F503" i="6"/>
  <c r="C503" i="6"/>
  <c r="F502" i="6"/>
  <c r="C502" i="6"/>
  <c r="F501" i="6"/>
  <c r="C501" i="6"/>
  <c r="F500" i="6"/>
  <c r="C500" i="6"/>
  <c r="F499" i="6"/>
  <c r="C499" i="6"/>
  <c r="F498" i="6"/>
  <c r="C498" i="6"/>
  <c r="F497" i="6"/>
  <c r="C497" i="6"/>
  <c r="F496" i="6"/>
  <c r="C496" i="6"/>
  <c r="F495" i="6"/>
  <c r="C495" i="6"/>
  <c r="F494" i="6"/>
  <c r="C494" i="6"/>
  <c r="F493" i="6"/>
  <c r="C493" i="6"/>
  <c r="F492" i="6"/>
  <c r="C492" i="6"/>
  <c r="F491" i="6"/>
  <c r="C491" i="6"/>
  <c r="F490" i="6"/>
  <c r="C490" i="6"/>
  <c r="F489" i="6"/>
  <c r="C489" i="6"/>
  <c r="F488" i="6"/>
  <c r="C488" i="6"/>
  <c r="F487" i="6"/>
  <c r="C487" i="6"/>
  <c r="F486" i="6"/>
  <c r="C486" i="6"/>
  <c r="F485" i="6"/>
  <c r="C485" i="6"/>
  <c r="F484" i="6"/>
  <c r="C484" i="6"/>
  <c r="F483" i="6"/>
  <c r="C483" i="6"/>
  <c r="F482" i="6"/>
  <c r="C482" i="6"/>
  <c r="F481" i="6"/>
  <c r="C481" i="6"/>
  <c r="F480" i="6"/>
  <c r="C480" i="6"/>
  <c r="F479" i="6"/>
  <c r="C479" i="6"/>
  <c r="F478" i="6"/>
  <c r="C478" i="6"/>
  <c r="F477" i="6"/>
  <c r="C477" i="6"/>
  <c r="F476" i="6"/>
  <c r="C476" i="6"/>
  <c r="F475" i="6"/>
  <c r="C475" i="6"/>
  <c r="F474" i="6"/>
  <c r="C474" i="6"/>
  <c r="F473" i="6"/>
  <c r="C473" i="6"/>
  <c r="F472" i="6"/>
  <c r="C472" i="6"/>
  <c r="F471" i="6"/>
  <c r="C471" i="6"/>
  <c r="F470" i="6"/>
  <c r="C470" i="6"/>
  <c r="F469" i="6"/>
  <c r="C469" i="6"/>
  <c r="F468" i="6"/>
  <c r="C468" i="6"/>
  <c r="F467" i="6"/>
  <c r="C467" i="6"/>
  <c r="F466" i="6"/>
  <c r="C466" i="6"/>
  <c r="F465" i="6"/>
  <c r="C465" i="6"/>
  <c r="F464" i="6"/>
  <c r="C464" i="6"/>
  <c r="F463" i="6"/>
  <c r="C463" i="6"/>
  <c r="F462" i="6"/>
  <c r="C462" i="6"/>
  <c r="F461" i="6"/>
  <c r="C461" i="6"/>
  <c r="F460" i="6"/>
  <c r="C460" i="6"/>
  <c r="F459" i="6"/>
  <c r="C459" i="6"/>
  <c r="F458" i="6"/>
  <c r="C458" i="6"/>
  <c r="F457" i="6"/>
  <c r="C457" i="6"/>
  <c r="F456" i="6"/>
  <c r="C456" i="6"/>
  <c r="F455" i="6"/>
  <c r="C455" i="6"/>
  <c r="F454" i="6"/>
  <c r="C454" i="6"/>
  <c r="F453" i="6"/>
  <c r="C453" i="6"/>
  <c r="F452" i="6"/>
  <c r="C452" i="6"/>
  <c r="F451" i="6"/>
  <c r="C451" i="6"/>
  <c r="F450" i="6"/>
  <c r="C450" i="6"/>
  <c r="F449" i="6"/>
  <c r="C449" i="6"/>
  <c r="F448" i="6"/>
  <c r="C448" i="6"/>
  <c r="F447" i="6"/>
  <c r="C447" i="6"/>
  <c r="F446" i="6"/>
  <c r="C446" i="6"/>
  <c r="F445" i="6"/>
  <c r="C445" i="6"/>
  <c r="F444" i="6"/>
  <c r="C444" i="6"/>
  <c r="F443" i="6"/>
  <c r="C443" i="6"/>
  <c r="F442" i="6"/>
  <c r="C442" i="6"/>
  <c r="F441" i="6"/>
  <c r="C441" i="6"/>
  <c r="F440" i="6"/>
  <c r="C440" i="6"/>
  <c r="F439" i="6"/>
  <c r="C439" i="6"/>
  <c r="F438" i="6"/>
  <c r="C438" i="6"/>
  <c r="F437" i="6"/>
  <c r="C437" i="6"/>
  <c r="F436" i="6"/>
  <c r="C436" i="6"/>
  <c r="F435" i="6"/>
  <c r="C435" i="6"/>
  <c r="F434" i="6"/>
  <c r="C434" i="6"/>
  <c r="F433" i="6"/>
  <c r="C433" i="6"/>
  <c r="F432" i="6"/>
  <c r="C432" i="6"/>
  <c r="F431" i="6"/>
  <c r="C431" i="6"/>
  <c r="F430" i="6"/>
  <c r="C430" i="6"/>
  <c r="F429" i="6"/>
  <c r="C429" i="6"/>
  <c r="F428" i="6"/>
  <c r="C428" i="6"/>
  <c r="F427" i="6"/>
  <c r="C427" i="6"/>
  <c r="F426" i="6"/>
  <c r="C426" i="6"/>
  <c r="F425" i="6"/>
  <c r="C425" i="6"/>
  <c r="F424" i="6"/>
  <c r="C424" i="6"/>
  <c r="F423" i="6"/>
  <c r="C423" i="6"/>
  <c r="F422" i="6"/>
  <c r="C422" i="6"/>
  <c r="F421" i="6"/>
  <c r="C421" i="6"/>
  <c r="F420" i="6"/>
  <c r="C420" i="6"/>
  <c r="F419" i="6"/>
  <c r="C419" i="6"/>
  <c r="F418" i="6"/>
  <c r="C418" i="6"/>
  <c r="F417" i="6"/>
  <c r="C417" i="6"/>
  <c r="F416" i="6"/>
  <c r="C416" i="6"/>
  <c r="F415" i="6"/>
  <c r="C415" i="6"/>
  <c r="F414" i="6"/>
  <c r="C414" i="6"/>
  <c r="F413" i="6"/>
  <c r="C413" i="6"/>
  <c r="F412" i="6"/>
  <c r="C412" i="6"/>
  <c r="F411" i="6"/>
  <c r="C411" i="6"/>
  <c r="F410" i="6"/>
  <c r="C410" i="6"/>
  <c r="F409" i="6"/>
  <c r="C409" i="6"/>
  <c r="F408" i="6"/>
  <c r="C408" i="6"/>
  <c r="F407" i="6"/>
  <c r="C407" i="6"/>
  <c r="F406" i="6"/>
  <c r="C406" i="6"/>
  <c r="F405" i="6"/>
  <c r="C405" i="6"/>
  <c r="F404" i="6"/>
  <c r="C404" i="6"/>
  <c r="F403" i="6"/>
  <c r="C403" i="6"/>
  <c r="F402" i="6"/>
  <c r="C402" i="6"/>
  <c r="F401" i="6"/>
  <c r="C401" i="6"/>
  <c r="F400" i="6"/>
  <c r="C400" i="6"/>
  <c r="F399" i="6"/>
  <c r="C399" i="6"/>
  <c r="F398" i="6"/>
  <c r="C398" i="6"/>
  <c r="F397" i="6"/>
  <c r="C397" i="6"/>
  <c r="F396" i="6"/>
  <c r="C396" i="6"/>
  <c r="F395" i="6"/>
  <c r="C395" i="6"/>
  <c r="F394" i="6"/>
  <c r="C394" i="6"/>
  <c r="F393" i="6"/>
  <c r="C393" i="6"/>
  <c r="F392" i="6"/>
  <c r="C392" i="6"/>
  <c r="F391" i="6"/>
  <c r="C391" i="6"/>
  <c r="F390" i="6"/>
  <c r="C390" i="6"/>
  <c r="F389" i="6"/>
  <c r="C389" i="6"/>
  <c r="F388" i="6"/>
  <c r="C388" i="6"/>
  <c r="F387" i="6"/>
  <c r="C387" i="6"/>
  <c r="F386" i="6"/>
  <c r="C386" i="6"/>
  <c r="F385" i="6"/>
  <c r="C385" i="6"/>
  <c r="F384" i="6"/>
  <c r="C384" i="6"/>
  <c r="F383" i="6"/>
  <c r="C383" i="6"/>
  <c r="F382" i="6"/>
  <c r="C382" i="6"/>
  <c r="F381" i="6"/>
  <c r="C381" i="6"/>
  <c r="F380" i="6"/>
  <c r="C380" i="6"/>
  <c r="F379" i="6"/>
  <c r="C379" i="6"/>
  <c r="F378" i="6"/>
  <c r="C378" i="6"/>
  <c r="F377" i="6"/>
  <c r="C377" i="6"/>
  <c r="F376" i="6"/>
  <c r="C376" i="6"/>
  <c r="F375" i="6"/>
  <c r="C375" i="6"/>
  <c r="F374" i="6"/>
  <c r="C374" i="6"/>
  <c r="F373" i="6"/>
  <c r="C373" i="6"/>
  <c r="F372" i="6"/>
  <c r="C372" i="6"/>
  <c r="F371" i="6"/>
  <c r="C371" i="6"/>
  <c r="F370" i="6"/>
  <c r="C370" i="6"/>
  <c r="F369" i="6"/>
  <c r="C369" i="6"/>
  <c r="F368" i="6"/>
  <c r="C368" i="6"/>
  <c r="F367" i="6"/>
  <c r="C367" i="6"/>
  <c r="F366" i="6"/>
  <c r="C366" i="6"/>
  <c r="F365" i="6"/>
  <c r="C365" i="6"/>
  <c r="F364" i="6"/>
  <c r="C364" i="6"/>
  <c r="F363" i="6"/>
  <c r="C363" i="6"/>
  <c r="F362" i="6"/>
  <c r="C362" i="6"/>
  <c r="F361" i="6"/>
  <c r="C361" i="6"/>
  <c r="A361" i="6"/>
  <c r="A453" i="6" s="1"/>
  <c r="A545" i="6" s="1"/>
  <c r="A637" i="6" s="1"/>
  <c r="A729" i="6" s="1"/>
  <c r="A821" i="6" s="1"/>
  <c r="A913" i="6" s="1"/>
  <c r="F360" i="6"/>
  <c r="C360" i="6"/>
  <c r="A360" i="6"/>
  <c r="A452" i="6" s="1"/>
  <c r="A544" i="6" s="1"/>
  <c r="A636" i="6" s="1"/>
  <c r="A728" i="6" s="1"/>
  <c r="A820" i="6" s="1"/>
  <c r="A912" i="6" s="1"/>
  <c r="F359" i="6"/>
  <c r="C359" i="6"/>
  <c r="A359" i="6"/>
  <c r="A451" i="6" s="1"/>
  <c r="A543" i="6" s="1"/>
  <c r="A635" i="6" s="1"/>
  <c r="A727" i="6" s="1"/>
  <c r="A819" i="6" s="1"/>
  <c r="A911" i="6" s="1"/>
  <c r="F358" i="6"/>
  <c r="C358" i="6"/>
  <c r="A358" i="6"/>
  <c r="A450" i="6" s="1"/>
  <c r="A542" i="6" s="1"/>
  <c r="A634" i="6" s="1"/>
  <c r="A726" i="6" s="1"/>
  <c r="A818" i="6" s="1"/>
  <c r="A910" i="6" s="1"/>
  <c r="F357" i="6"/>
  <c r="C357" i="6"/>
  <c r="A357" i="6"/>
  <c r="A449" i="6" s="1"/>
  <c r="A541" i="6" s="1"/>
  <c r="A633" i="6" s="1"/>
  <c r="A725" i="6" s="1"/>
  <c r="A817" i="6" s="1"/>
  <c r="A909" i="6" s="1"/>
  <c r="F356" i="6"/>
  <c r="C356" i="6"/>
  <c r="A356" i="6"/>
  <c r="A448" i="6" s="1"/>
  <c r="A540" i="6" s="1"/>
  <c r="A632" i="6" s="1"/>
  <c r="A724" i="6" s="1"/>
  <c r="A816" i="6" s="1"/>
  <c r="A908" i="6" s="1"/>
  <c r="F355" i="6"/>
  <c r="C355" i="6"/>
  <c r="A355" i="6"/>
  <c r="A447" i="6" s="1"/>
  <c r="A539" i="6" s="1"/>
  <c r="A631" i="6" s="1"/>
  <c r="A723" i="6" s="1"/>
  <c r="A815" i="6" s="1"/>
  <c r="A907" i="6" s="1"/>
  <c r="F354" i="6"/>
  <c r="C354" i="6"/>
  <c r="A354" i="6"/>
  <c r="A446" i="6" s="1"/>
  <c r="A538" i="6" s="1"/>
  <c r="A630" i="6" s="1"/>
  <c r="A722" i="6" s="1"/>
  <c r="A814" i="6" s="1"/>
  <c r="A906" i="6" s="1"/>
  <c r="F353" i="6"/>
  <c r="C353" i="6"/>
  <c r="A353" i="6"/>
  <c r="A445" i="6" s="1"/>
  <c r="A537" i="6" s="1"/>
  <c r="A629" i="6" s="1"/>
  <c r="A721" i="6" s="1"/>
  <c r="A813" i="6" s="1"/>
  <c r="A905" i="6" s="1"/>
  <c r="F352" i="6"/>
  <c r="C352" i="6"/>
  <c r="A352" i="6"/>
  <c r="A444" i="6" s="1"/>
  <c r="A536" i="6" s="1"/>
  <c r="A628" i="6" s="1"/>
  <c r="A720" i="6" s="1"/>
  <c r="A812" i="6" s="1"/>
  <c r="A904" i="6" s="1"/>
  <c r="F351" i="6"/>
  <c r="C351" i="6"/>
  <c r="A351" i="6"/>
  <c r="A443" i="6" s="1"/>
  <c r="A535" i="6" s="1"/>
  <c r="A627" i="6" s="1"/>
  <c r="A719" i="6" s="1"/>
  <c r="A811" i="6" s="1"/>
  <c r="A903" i="6" s="1"/>
  <c r="F350" i="6"/>
  <c r="C350" i="6"/>
  <c r="A350" i="6"/>
  <c r="A442" i="6" s="1"/>
  <c r="A534" i="6" s="1"/>
  <c r="A626" i="6" s="1"/>
  <c r="A718" i="6" s="1"/>
  <c r="A810" i="6" s="1"/>
  <c r="A902" i="6" s="1"/>
  <c r="F349" i="6"/>
  <c r="C349" i="6"/>
  <c r="A349" i="6"/>
  <c r="A441" i="6" s="1"/>
  <c r="A533" i="6" s="1"/>
  <c r="A625" i="6" s="1"/>
  <c r="A717" i="6" s="1"/>
  <c r="A809" i="6" s="1"/>
  <c r="A901" i="6" s="1"/>
  <c r="F348" i="6"/>
  <c r="C348" i="6"/>
  <c r="A348" i="6"/>
  <c r="A440" i="6" s="1"/>
  <c r="A532" i="6" s="1"/>
  <c r="A624" i="6" s="1"/>
  <c r="A716" i="6" s="1"/>
  <c r="A808" i="6" s="1"/>
  <c r="A900" i="6" s="1"/>
  <c r="F347" i="6"/>
  <c r="C347" i="6"/>
  <c r="A347" i="6"/>
  <c r="A439" i="6" s="1"/>
  <c r="A531" i="6" s="1"/>
  <c r="A623" i="6" s="1"/>
  <c r="A715" i="6" s="1"/>
  <c r="A807" i="6" s="1"/>
  <c r="A899" i="6" s="1"/>
  <c r="F346" i="6"/>
  <c r="C346" i="6"/>
  <c r="A346" i="6"/>
  <c r="A438" i="6" s="1"/>
  <c r="A530" i="6" s="1"/>
  <c r="A622" i="6" s="1"/>
  <c r="A714" i="6" s="1"/>
  <c r="A806" i="6" s="1"/>
  <c r="A898" i="6" s="1"/>
  <c r="F345" i="6"/>
  <c r="C345" i="6"/>
  <c r="A345" i="6"/>
  <c r="A437" i="6" s="1"/>
  <c r="A529" i="6" s="1"/>
  <c r="A621" i="6" s="1"/>
  <c r="A713" i="6" s="1"/>
  <c r="A805" i="6" s="1"/>
  <c r="A897" i="6" s="1"/>
  <c r="F344" i="6"/>
  <c r="C344" i="6"/>
  <c r="A344" i="6"/>
  <c r="A436" i="6" s="1"/>
  <c r="A528" i="6" s="1"/>
  <c r="A620" i="6" s="1"/>
  <c r="A712" i="6" s="1"/>
  <c r="A804" i="6" s="1"/>
  <c r="A896" i="6" s="1"/>
  <c r="F343" i="6"/>
  <c r="C343" i="6"/>
  <c r="A343" i="6"/>
  <c r="A435" i="6" s="1"/>
  <c r="A527" i="6" s="1"/>
  <c r="A619" i="6" s="1"/>
  <c r="A711" i="6" s="1"/>
  <c r="A803" i="6" s="1"/>
  <c r="A895" i="6" s="1"/>
  <c r="F342" i="6"/>
  <c r="C342" i="6"/>
  <c r="A342" i="6"/>
  <c r="A434" i="6" s="1"/>
  <c r="A526" i="6" s="1"/>
  <c r="A618" i="6" s="1"/>
  <c r="A710" i="6" s="1"/>
  <c r="A802" i="6" s="1"/>
  <c r="A894" i="6" s="1"/>
  <c r="F341" i="6"/>
  <c r="C341" i="6"/>
  <c r="A341" i="6"/>
  <c r="A433" i="6" s="1"/>
  <c r="A525" i="6" s="1"/>
  <c r="A617" i="6" s="1"/>
  <c r="A709" i="6" s="1"/>
  <c r="A801" i="6" s="1"/>
  <c r="A893" i="6" s="1"/>
  <c r="F340" i="6"/>
  <c r="C340" i="6"/>
  <c r="A340" i="6"/>
  <c r="A432" i="6" s="1"/>
  <c r="A524" i="6" s="1"/>
  <c r="A616" i="6" s="1"/>
  <c r="A708" i="6" s="1"/>
  <c r="A800" i="6" s="1"/>
  <c r="A892" i="6" s="1"/>
  <c r="F339" i="6"/>
  <c r="C339" i="6"/>
  <c r="A339" i="6"/>
  <c r="A431" i="6" s="1"/>
  <c r="A523" i="6" s="1"/>
  <c r="A615" i="6" s="1"/>
  <c r="A707" i="6" s="1"/>
  <c r="A799" i="6" s="1"/>
  <c r="A891" i="6" s="1"/>
  <c r="F338" i="6"/>
  <c r="C338" i="6"/>
  <c r="A338" i="6"/>
  <c r="A430" i="6" s="1"/>
  <c r="A522" i="6" s="1"/>
  <c r="A614" i="6" s="1"/>
  <c r="A706" i="6" s="1"/>
  <c r="A798" i="6" s="1"/>
  <c r="A890" i="6" s="1"/>
  <c r="F337" i="6"/>
  <c r="C337" i="6"/>
  <c r="A337" i="6"/>
  <c r="A429" i="6" s="1"/>
  <c r="A521" i="6" s="1"/>
  <c r="A613" i="6" s="1"/>
  <c r="A705" i="6" s="1"/>
  <c r="A797" i="6" s="1"/>
  <c r="A889" i="6" s="1"/>
  <c r="F336" i="6"/>
  <c r="C336" i="6"/>
  <c r="A336" i="6"/>
  <c r="A428" i="6" s="1"/>
  <c r="A520" i="6" s="1"/>
  <c r="A612" i="6" s="1"/>
  <c r="A704" i="6" s="1"/>
  <c r="A796" i="6" s="1"/>
  <c r="A888" i="6" s="1"/>
  <c r="F335" i="6"/>
  <c r="C335" i="6"/>
  <c r="A335" i="6"/>
  <c r="A427" i="6" s="1"/>
  <c r="A519" i="6" s="1"/>
  <c r="A611" i="6" s="1"/>
  <c r="A703" i="6" s="1"/>
  <c r="A795" i="6" s="1"/>
  <c r="A887" i="6" s="1"/>
  <c r="F334" i="6"/>
  <c r="C334" i="6"/>
  <c r="A334" i="6"/>
  <c r="A426" i="6" s="1"/>
  <c r="A518" i="6" s="1"/>
  <c r="A610" i="6" s="1"/>
  <c r="A702" i="6" s="1"/>
  <c r="A794" i="6" s="1"/>
  <c r="A886" i="6" s="1"/>
  <c r="F333" i="6"/>
  <c r="C333" i="6"/>
  <c r="A333" i="6"/>
  <c r="A425" i="6" s="1"/>
  <c r="A517" i="6" s="1"/>
  <c r="A609" i="6" s="1"/>
  <c r="A701" i="6" s="1"/>
  <c r="A793" i="6" s="1"/>
  <c r="A885" i="6" s="1"/>
  <c r="F332" i="6"/>
  <c r="C332" i="6"/>
  <c r="A332" i="6"/>
  <c r="A424" i="6" s="1"/>
  <c r="A516" i="6" s="1"/>
  <c r="A608" i="6" s="1"/>
  <c r="A700" i="6" s="1"/>
  <c r="A792" i="6" s="1"/>
  <c r="A884" i="6" s="1"/>
  <c r="F331" i="6"/>
  <c r="C331" i="6"/>
  <c r="A331" i="6"/>
  <c r="A423" i="6" s="1"/>
  <c r="A515" i="6" s="1"/>
  <c r="A607" i="6" s="1"/>
  <c r="A699" i="6" s="1"/>
  <c r="A791" i="6" s="1"/>
  <c r="A883" i="6" s="1"/>
  <c r="F330" i="6"/>
  <c r="C330" i="6"/>
  <c r="A330" i="6"/>
  <c r="A422" i="6" s="1"/>
  <c r="A514" i="6" s="1"/>
  <c r="A606" i="6" s="1"/>
  <c r="A698" i="6" s="1"/>
  <c r="A790" i="6" s="1"/>
  <c r="A882" i="6" s="1"/>
  <c r="F329" i="6"/>
  <c r="C329" i="6"/>
  <c r="A329" i="6"/>
  <c r="A421" i="6" s="1"/>
  <c r="A513" i="6" s="1"/>
  <c r="A605" i="6" s="1"/>
  <c r="A697" i="6" s="1"/>
  <c r="A789" i="6" s="1"/>
  <c r="A881" i="6" s="1"/>
  <c r="F328" i="6"/>
  <c r="C328" i="6"/>
  <c r="A328" i="6"/>
  <c r="A420" i="6" s="1"/>
  <c r="A512" i="6" s="1"/>
  <c r="A604" i="6" s="1"/>
  <c r="A696" i="6" s="1"/>
  <c r="A788" i="6" s="1"/>
  <c r="A880" i="6" s="1"/>
  <c r="F327" i="6"/>
  <c r="C327" i="6"/>
  <c r="A327" i="6"/>
  <c r="A419" i="6" s="1"/>
  <c r="A511" i="6" s="1"/>
  <c r="A603" i="6" s="1"/>
  <c r="A695" i="6" s="1"/>
  <c r="A787" i="6" s="1"/>
  <c r="A879" i="6" s="1"/>
  <c r="F326" i="6"/>
  <c r="C326" i="6"/>
  <c r="A326" i="6"/>
  <c r="A418" i="6" s="1"/>
  <c r="A510" i="6" s="1"/>
  <c r="A602" i="6" s="1"/>
  <c r="A694" i="6" s="1"/>
  <c r="A786" i="6" s="1"/>
  <c r="A878" i="6" s="1"/>
  <c r="F325" i="6"/>
  <c r="C325" i="6"/>
  <c r="A325" i="6"/>
  <c r="A417" i="6" s="1"/>
  <c r="A509" i="6" s="1"/>
  <c r="A601" i="6" s="1"/>
  <c r="A693" i="6" s="1"/>
  <c r="A785" i="6" s="1"/>
  <c r="A877" i="6" s="1"/>
  <c r="F324" i="6"/>
  <c r="C324" i="6"/>
  <c r="A324" i="6"/>
  <c r="A416" i="6" s="1"/>
  <c r="A508" i="6" s="1"/>
  <c r="A600" i="6" s="1"/>
  <c r="A692" i="6" s="1"/>
  <c r="A784" i="6" s="1"/>
  <c r="A876" i="6" s="1"/>
  <c r="F323" i="6"/>
  <c r="C323" i="6"/>
  <c r="A323" i="6"/>
  <c r="A415" i="6" s="1"/>
  <c r="A507" i="6" s="1"/>
  <c r="A599" i="6" s="1"/>
  <c r="A691" i="6" s="1"/>
  <c r="A783" i="6" s="1"/>
  <c r="A875" i="6" s="1"/>
  <c r="F322" i="6"/>
  <c r="C322" i="6"/>
  <c r="A322" i="6"/>
  <c r="A414" i="6" s="1"/>
  <c r="A506" i="6" s="1"/>
  <c r="A598" i="6" s="1"/>
  <c r="A690" i="6" s="1"/>
  <c r="A782" i="6" s="1"/>
  <c r="A874" i="6" s="1"/>
  <c r="F321" i="6"/>
  <c r="C321" i="6"/>
  <c r="A321" i="6"/>
  <c r="A413" i="6" s="1"/>
  <c r="A505" i="6" s="1"/>
  <c r="A597" i="6" s="1"/>
  <c r="A689" i="6" s="1"/>
  <c r="A781" i="6" s="1"/>
  <c r="A873" i="6" s="1"/>
  <c r="F320" i="6"/>
  <c r="C320" i="6"/>
  <c r="A320" i="6"/>
  <c r="A412" i="6" s="1"/>
  <c r="A504" i="6" s="1"/>
  <c r="A596" i="6" s="1"/>
  <c r="A688" i="6" s="1"/>
  <c r="A780" i="6" s="1"/>
  <c r="A872" i="6" s="1"/>
  <c r="F319" i="6"/>
  <c r="C319" i="6"/>
  <c r="A319" i="6"/>
  <c r="A411" i="6" s="1"/>
  <c r="A503" i="6" s="1"/>
  <c r="A595" i="6" s="1"/>
  <c r="A687" i="6" s="1"/>
  <c r="A779" i="6" s="1"/>
  <c r="A871" i="6" s="1"/>
  <c r="F318" i="6"/>
  <c r="C318" i="6"/>
  <c r="A318" i="6"/>
  <c r="A410" i="6" s="1"/>
  <c r="A502" i="6" s="1"/>
  <c r="A594" i="6" s="1"/>
  <c r="A686" i="6" s="1"/>
  <c r="A778" i="6" s="1"/>
  <c r="A870" i="6" s="1"/>
  <c r="F317" i="6"/>
  <c r="C317" i="6"/>
  <c r="A317" i="6"/>
  <c r="A409" i="6" s="1"/>
  <c r="A501" i="6" s="1"/>
  <c r="A593" i="6" s="1"/>
  <c r="A685" i="6" s="1"/>
  <c r="A777" i="6" s="1"/>
  <c r="A869" i="6" s="1"/>
  <c r="F316" i="6"/>
  <c r="C316" i="6"/>
  <c r="A316" i="6"/>
  <c r="A408" i="6" s="1"/>
  <c r="A500" i="6" s="1"/>
  <c r="A592" i="6" s="1"/>
  <c r="A684" i="6" s="1"/>
  <c r="A776" i="6" s="1"/>
  <c r="A868" i="6" s="1"/>
  <c r="F315" i="6"/>
  <c r="C315" i="6"/>
  <c r="A315" i="6"/>
  <c r="A407" i="6" s="1"/>
  <c r="A499" i="6" s="1"/>
  <c r="A591" i="6" s="1"/>
  <c r="A683" i="6" s="1"/>
  <c r="A775" i="6" s="1"/>
  <c r="A867" i="6" s="1"/>
  <c r="F314" i="6"/>
  <c r="C314" i="6"/>
  <c r="A314" i="6"/>
  <c r="A406" i="6" s="1"/>
  <c r="A498" i="6" s="1"/>
  <c r="A590" i="6" s="1"/>
  <c r="A682" i="6" s="1"/>
  <c r="A774" i="6" s="1"/>
  <c r="A866" i="6" s="1"/>
  <c r="F313" i="6"/>
  <c r="C313" i="6"/>
  <c r="A313" i="6"/>
  <c r="A405" i="6" s="1"/>
  <c r="A497" i="6" s="1"/>
  <c r="A589" i="6" s="1"/>
  <c r="A681" i="6" s="1"/>
  <c r="A773" i="6" s="1"/>
  <c r="A865" i="6" s="1"/>
  <c r="F312" i="6"/>
  <c r="C312" i="6"/>
  <c r="A312" i="6"/>
  <c r="A404" i="6" s="1"/>
  <c r="A496" i="6" s="1"/>
  <c r="A588" i="6" s="1"/>
  <c r="A680" i="6" s="1"/>
  <c r="A772" i="6" s="1"/>
  <c r="A864" i="6" s="1"/>
  <c r="F311" i="6"/>
  <c r="C311" i="6"/>
  <c r="A311" i="6"/>
  <c r="A403" i="6" s="1"/>
  <c r="A495" i="6" s="1"/>
  <c r="A587" i="6" s="1"/>
  <c r="A679" i="6" s="1"/>
  <c r="A771" i="6" s="1"/>
  <c r="A863" i="6" s="1"/>
  <c r="F310" i="6"/>
  <c r="C310" i="6"/>
  <c r="A310" i="6"/>
  <c r="A402" i="6" s="1"/>
  <c r="A494" i="6" s="1"/>
  <c r="A586" i="6" s="1"/>
  <c r="A678" i="6" s="1"/>
  <c r="A770" i="6" s="1"/>
  <c r="A862" i="6" s="1"/>
  <c r="F309" i="6"/>
  <c r="C309" i="6"/>
  <c r="A309" i="6"/>
  <c r="A401" i="6" s="1"/>
  <c r="A493" i="6" s="1"/>
  <c r="A585" i="6" s="1"/>
  <c r="A677" i="6" s="1"/>
  <c r="A769" i="6" s="1"/>
  <c r="A861" i="6" s="1"/>
  <c r="F308" i="6"/>
  <c r="C308" i="6"/>
  <c r="A308" i="6"/>
  <c r="A400" i="6" s="1"/>
  <c r="A492" i="6" s="1"/>
  <c r="A584" i="6" s="1"/>
  <c r="A676" i="6" s="1"/>
  <c r="A768" i="6" s="1"/>
  <c r="A860" i="6" s="1"/>
  <c r="F307" i="6"/>
  <c r="C307" i="6"/>
  <c r="A307" i="6"/>
  <c r="A399" i="6" s="1"/>
  <c r="A491" i="6" s="1"/>
  <c r="A583" i="6" s="1"/>
  <c r="A675" i="6" s="1"/>
  <c r="A767" i="6" s="1"/>
  <c r="A859" i="6" s="1"/>
  <c r="F306" i="6"/>
  <c r="C306" i="6"/>
  <c r="A306" i="6"/>
  <c r="A398" i="6" s="1"/>
  <c r="A490" i="6" s="1"/>
  <c r="A582" i="6" s="1"/>
  <c r="A674" i="6" s="1"/>
  <c r="A766" i="6" s="1"/>
  <c r="A858" i="6" s="1"/>
  <c r="F305" i="6"/>
  <c r="C305" i="6"/>
  <c r="A305" i="6"/>
  <c r="A397" i="6" s="1"/>
  <c r="A489" i="6" s="1"/>
  <c r="A581" i="6" s="1"/>
  <c r="A673" i="6" s="1"/>
  <c r="A765" i="6" s="1"/>
  <c r="A857" i="6" s="1"/>
  <c r="F304" i="6"/>
  <c r="C304" i="6"/>
  <c r="A304" i="6"/>
  <c r="A396" i="6" s="1"/>
  <c r="A488" i="6" s="1"/>
  <c r="A580" i="6" s="1"/>
  <c r="A672" i="6" s="1"/>
  <c r="A764" i="6" s="1"/>
  <c r="A856" i="6" s="1"/>
  <c r="F303" i="6"/>
  <c r="C303" i="6"/>
  <c r="A303" i="6"/>
  <c r="A395" i="6" s="1"/>
  <c r="A487" i="6" s="1"/>
  <c r="A579" i="6" s="1"/>
  <c r="A671" i="6" s="1"/>
  <c r="A763" i="6" s="1"/>
  <c r="A855" i="6" s="1"/>
  <c r="F302" i="6"/>
  <c r="C302" i="6"/>
  <c r="A302" i="6"/>
  <c r="A394" i="6" s="1"/>
  <c r="A486" i="6" s="1"/>
  <c r="A578" i="6" s="1"/>
  <c r="A670" i="6" s="1"/>
  <c r="A762" i="6" s="1"/>
  <c r="A854" i="6" s="1"/>
  <c r="F301" i="6"/>
  <c r="C301" i="6"/>
  <c r="A301" i="6"/>
  <c r="A393" i="6" s="1"/>
  <c r="A485" i="6" s="1"/>
  <c r="A577" i="6" s="1"/>
  <c r="A669" i="6" s="1"/>
  <c r="A761" i="6" s="1"/>
  <c r="A853" i="6" s="1"/>
  <c r="F300" i="6"/>
  <c r="C300" i="6"/>
  <c r="A300" i="6"/>
  <c r="A392" i="6" s="1"/>
  <c r="A484" i="6" s="1"/>
  <c r="A576" i="6" s="1"/>
  <c r="A668" i="6" s="1"/>
  <c r="A760" i="6" s="1"/>
  <c r="A852" i="6" s="1"/>
  <c r="F299" i="6"/>
  <c r="C299" i="6"/>
  <c r="A299" i="6"/>
  <c r="A391" i="6" s="1"/>
  <c r="A483" i="6" s="1"/>
  <c r="A575" i="6" s="1"/>
  <c r="A667" i="6" s="1"/>
  <c r="A759" i="6" s="1"/>
  <c r="A851" i="6" s="1"/>
  <c r="F298" i="6"/>
  <c r="C298" i="6"/>
  <c r="A298" i="6"/>
  <c r="A390" i="6" s="1"/>
  <c r="A482" i="6" s="1"/>
  <c r="A574" i="6" s="1"/>
  <c r="A666" i="6" s="1"/>
  <c r="A758" i="6" s="1"/>
  <c r="A850" i="6" s="1"/>
  <c r="F297" i="6"/>
  <c r="C297" i="6"/>
  <c r="A297" i="6"/>
  <c r="A389" i="6" s="1"/>
  <c r="A481" i="6" s="1"/>
  <c r="A573" i="6" s="1"/>
  <c r="A665" i="6" s="1"/>
  <c r="A757" i="6" s="1"/>
  <c r="A849" i="6" s="1"/>
  <c r="F296" i="6"/>
  <c r="C296" i="6"/>
  <c r="A296" i="6"/>
  <c r="A388" i="6" s="1"/>
  <c r="A480" i="6" s="1"/>
  <c r="A572" i="6" s="1"/>
  <c r="A664" i="6" s="1"/>
  <c r="A756" i="6" s="1"/>
  <c r="A848" i="6" s="1"/>
  <c r="F295" i="6"/>
  <c r="C295" i="6"/>
  <c r="A295" i="6"/>
  <c r="A387" i="6" s="1"/>
  <c r="A479" i="6" s="1"/>
  <c r="A571" i="6" s="1"/>
  <c r="A663" i="6" s="1"/>
  <c r="A755" i="6" s="1"/>
  <c r="A847" i="6" s="1"/>
  <c r="F294" i="6"/>
  <c r="C294" i="6"/>
  <c r="A294" i="6"/>
  <c r="A386" i="6" s="1"/>
  <c r="A478" i="6" s="1"/>
  <c r="A570" i="6" s="1"/>
  <c r="A662" i="6" s="1"/>
  <c r="A754" i="6" s="1"/>
  <c r="A846" i="6" s="1"/>
  <c r="F293" i="6"/>
  <c r="C293" i="6"/>
  <c r="A293" i="6"/>
  <c r="A385" i="6" s="1"/>
  <c r="A477" i="6" s="1"/>
  <c r="A569" i="6" s="1"/>
  <c r="A661" i="6" s="1"/>
  <c r="A753" i="6" s="1"/>
  <c r="A845" i="6" s="1"/>
  <c r="F292" i="6"/>
  <c r="C292" i="6"/>
  <c r="A292" i="6"/>
  <c r="A384" i="6" s="1"/>
  <c r="A476" i="6" s="1"/>
  <c r="A568" i="6" s="1"/>
  <c r="A660" i="6" s="1"/>
  <c r="A752" i="6" s="1"/>
  <c r="A844" i="6" s="1"/>
  <c r="F291" i="6"/>
  <c r="C291" i="6"/>
  <c r="A291" i="6"/>
  <c r="A383" i="6" s="1"/>
  <c r="A475" i="6" s="1"/>
  <c r="A567" i="6" s="1"/>
  <c r="A659" i="6" s="1"/>
  <c r="A751" i="6" s="1"/>
  <c r="A843" i="6" s="1"/>
  <c r="F290" i="6"/>
  <c r="C290" i="6"/>
  <c r="A290" i="6"/>
  <c r="A382" i="6" s="1"/>
  <c r="A474" i="6" s="1"/>
  <c r="A566" i="6" s="1"/>
  <c r="A658" i="6" s="1"/>
  <c r="A750" i="6" s="1"/>
  <c r="A842" i="6" s="1"/>
  <c r="F289" i="6"/>
  <c r="C289" i="6"/>
  <c r="A289" i="6"/>
  <c r="A381" i="6" s="1"/>
  <c r="A473" i="6" s="1"/>
  <c r="A565" i="6" s="1"/>
  <c r="A657" i="6" s="1"/>
  <c r="A749" i="6" s="1"/>
  <c r="A841" i="6" s="1"/>
  <c r="F288" i="6"/>
  <c r="C288" i="6"/>
  <c r="A288" i="6"/>
  <c r="A380" i="6" s="1"/>
  <c r="A472" i="6" s="1"/>
  <c r="A564" i="6" s="1"/>
  <c r="A656" i="6" s="1"/>
  <c r="A748" i="6" s="1"/>
  <c r="A840" i="6" s="1"/>
  <c r="F287" i="6"/>
  <c r="C287" i="6"/>
  <c r="A287" i="6"/>
  <c r="A379" i="6" s="1"/>
  <c r="A471" i="6" s="1"/>
  <c r="A563" i="6" s="1"/>
  <c r="A655" i="6" s="1"/>
  <c r="A747" i="6" s="1"/>
  <c r="A839" i="6" s="1"/>
  <c r="F286" i="6"/>
  <c r="C286" i="6"/>
  <c r="A286" i="6"/>
  <c r="A378" i="6" s="1"/>
  <c r="A470" i="6" s="1"/>
  <c r="A562" i="6" s="1"/>
  <c r="A654" i="6" s="1"/>
  <c r="A746" i="6" s="1"/>
  <c r="A838" i="6" s="1"/>
  <c r="F285" i="6"/>
  <c r="C285" i="6"/>
  <c r="A285" i="6"/>
  <c r="A377" i="6" s="1"/>
  <c r="A469" i="6" s="1"/>
  <c r="A561" i="6" s="1"/>
  <c r="A653" i="6" s="1"/>
  <c r="A745" i="6" s="1"/>
  <c r="A837" i="6" s="1"/>
  <c r="F284" i="6"/>
  <c r="C284" i="6"/>
  <c r="A284" i="6"/>
  <c r="A376" i="6" s="1"/>
  <c r="A468" i="6" s="1"/>
  <c r="A560" i="6" s="1"/>
  <c r="A652" i="6" s="1"/>
  <c r="A744" i="6" s="1"/>
  <c r="A836" i="6" s="1"/>
  <c r="F283" i="6"/>
  <c r="C283" i="6"/>
  <c r="A283" i="6"/>
  <c r="A375" i="6" s="1"/>
  <c r="A467" i="6" s="1"/>
  <c r="A559" i="6" s="1"/>
  <c r="A651" i="6" s="1"/>
  <c r="A743" i="6" s="1"/>
  <c r="A835" i="6" s="1"/>
  <c r="F282" i="6"/>
  <c r="C282" i="6"/>
  <c r="A282" i="6"/>
  <c r="A374" i="6" s="1"/>
  <c r="A466" i="6" s="1"/>
  <c r="A558" i="6" s="1"/>
  <c r="A650" i="6" s="1"/>
  <c r="A742" i="6" s="1"/>
  <c r="A834" i="6" s="1"/>
  <c r="F281" i="6"/>
  <c r="C281" i="6"/>
  <c r="A281" i="6"/>
  <c r="A373" i="6" s="1"/>
  <c r="A465" i="6" s="1"/>
  <c r="A557" i="6" s="1"/>
  <c r="A649" i="6" s="1"/>
  <c r="A741" i="6" s="1"/>
  <c r="A833" i="6" s="1"/>
  <c r="F280" i="6"/>
  <c r="C280" i="6"/>
  <c r="A280" i="6"/>
  <c r="A372" i="6" s="1"/>
  <c r="A464" i="6" s="1"/>
  <c r="A556" i="6" s="1"/>
  <c r="A648" i="6" s="1"/>
  <c r="A740" i="6" s="1"/>
  <c r="A832" i="6" s="1"/>
  <c r="F279" i="6"/>
  <c r="C279" i="6"/>
  <c r="A279" i="6"/>
  <c r="A371" i="6" s="1"/>
  <c r="A463" i="6" s="1"/>
  <c r="A555" i="6" s="1"/>
  <c r="A647" i="6" s="1"/>
  <c r="A739" i="6" s="1"/>
  <c r="A831" i="6" s="1"/>
  <c r="F278" i="6"/>
  <c r="C278" i="6"/>
  <c r="A278" i="6"/>
  <c r="A370" i="6" s="1"/>
  <c r="A462" i="6" s="1"/>
  <c r="A554" i="6" s="1"/>
  <c r="A646" i="6" s="1"/>
  <c r="A738" i="6" s="1"/>
  <c r="A830" i="6" s="1"/>
  <c r="F277" i="6"/>
  <c r="C277" i="6"/>
  <c r="A277" i="6"/>
  <c r="A369" i="6" s="1"/>
  <c r="A461" i="6" s="1"/>
  <c r="A553" i="6" s="1"/>
  <c r="A645" i="6" s="1"/>
  <c r="A737" i="6" s="1"/>
  <c r="A829" i="6" s="1"/>
  <c r="F276" i="6"/>
  <c r="C276" i="6"/>
  <c r="A276" i="6"/>
  <c r="A368" i="6" s="1"/>
  <c r="A460" i="6" s="1"/>
  <c r="A552" i="6" s="1"/>
  <c r="A644" i="6" s="1"/>
  <c r="A736" i="6" s="1"/>
  <c r="A828" i="6" s="1"/>
  <c r="F275" i="6"/>
  <c r="C275" i="6"/>
  <c r="A275" i="6"/>
  <c r="A367" i="6" s="1"/>
  <c r="A459" i="6" s="1"/>
  <c r="A551" i="6" s="1"/>
  <c r="A643" i="6" s="1"/>
  <c r="A735" i="6" s="1"/>
  <c r="A827" i="6" s="1"/>
  <c r="F274" i="6"/>
  <c r="C274" i="6"/>
  <c r="A274" i="6"/>
  <c r="A366" i="6" s="1"/>
  <c r="A458" i="6" s="1"/>
  <c r="A550" i="6" s="1"/>
  <c r="A642" i="6" s="1"/>
  <c r="A734" i="6" s="1"/>
  <c r="A826" i="6" s="1"/>
  <c r="F273" i="6"/>
  <c r="C273" i="6"/>
  <c r="A273" i="6"/>
  <c r="A365" i="6" s="1"/>
  <c r="A457" i="6" s="1"/>
  <c r="A549" i="6" s="1"/>
  <c r="A641" i="6" s="1"/>
  <c r="A733" i="6" s="1"/>
  <c r="A825" i="6" s="1"/>
  <c r="F272" i="6"/>
  <c r="C272" i="6"/>
  <c r="A272" i="6"/>
  <c r="A364" i="6" s="1"/>
  <c r="A456" i="6" s="1"/>
  <c r="A548" i="6" s="1"/>
  <c r="A640" i="6" s="1"/>
  <c r="A732" i="6" s="1"/>
  <c r="A824" i="6" s="1"/>
  <c r="F271" i="6"/>
  <c r="C271" i="6"/>
  <c r="A271" i="6"/>
  <c r="A363" i="6" s="1"/>
  <c r="A455" i="6" s="1"/>
  <c r="A547" i="6" s="1"/>
  <c r="A639" i="6" s="1"/>
  <c r="A731" i="6" s="1"/>
  <c r="A823" i="6" s="1"/>
  <c r="F270" i="6"/>
  <c r="C270" i="6"/>
  <c r="A270" i="6"/>
  <c r="A362" i="6" s="1"/>
  <c r="A454" i="6" s="1"/>
  <c r="A546" i="6" s="1"/>
  <c r="A638" i="6" s="1"/>
  <c r="A730" i="6" s="1"/>
  <c r="A822" i="6" s="1"/>
  <c r="F269" i="6"/>
  <c r="C269" i="6"/>
  <c r="F268" i="6"/>
  <c r="C268" i="6"/>
  <c r="F267" i="6"/>
  <c r="C267" i="6"/>
  <c r="F266" i="6"/>
  <c r="C266" i="6"/>
  <c r="F265" i="6"/>
  <c r="C265" i="6"/>
  <c r="F264" i="6"/>
  <c r="C264" i="6"/>
  <c r="F263" i="6"/>
  <c r="C263" i="6"/>
  <c r="F262" i="6"/>
  <c r="C262" i="6"/>
  <c r="F261" i="6"/>
  <c r="C261" i="6"/>
  <c r="F260" i="6"/>
  <c r="C260" i="6"/>
  <c r="F259" i="6"/>
  <c r="C259" i="6"/>
  <c r="F258" i="6"/>
  <c r="C258" i="6"/>
  <c r="F257" i="6"/>
  <c r="C257" i="6"/>
  <c r="F256" i="6"/>
  <c r="C256" i="6"/>
  <c r="F255" i="6"/>
  <c r="C255" i="6"/>
  <c r="F254" i="6"/>
  <c r="C254" i="6"/>
  <c r="F253" i="6"/>
  <c r="C253" i="6"/>
  <c r="F252" i="6"/>
  <c r="C252" i="6"/>
  <c r="F251" i="6"/>
  <c r="C251" i="6"/>
  <c r="F250" i="6"/>
  <c r="C250" i="6"/>
  <c r="F249" i="6"/>
  <c r="C249" i="6"/>
  <c r="F248" i="6"/>
  <c r="C248" i="6"/>
  <c r="F247" i="6"/>
  <c r="C247" i="6"/>
  <c r="F246" i="6"/>
  <c r="C246" i="6"/>
  <c r="F245" i="6"/>
  <c r="C245" i="6"/>
  <c r="F244" i="6"/>
  <c r="C244" i="6"/>
  <c r="F243" i="6"/>
  <c r="C243" i="6"/>
  <c r="F242" i="6"/>
  <c r="C242" i="6"/>
  <c r="F241" i="6"/>
  <c r="C241" i="6"/>
  <c r="F240" i="6"/>
  <c r="C240" i="6"/>
  <c r="F239" i="6"/>
  <c r="C239" i="6"/>
  <c r="F238" i="6"/>
  <c r="C238" i="6"/>
  <c r="F237" i="6"/>
  <c r="C237" i="6"/>
  <c r="F236" i="6"/>
  <c r="C236" i="6"/>
  <c r="F235" i="6"/>
  <c r="C235" i="6"/>
  <c r="F234" i="6"/>
  <c r="C234" i="6"/>
  <c r="F233" i="6"/>
  <c r="C233" i="6"/>
  <c r="F232" i="6"/>
  <c r="C232" i="6"/>
  <c r="F231" i="6"/>
  <c r="C231" i="6"/>
  <c r="F230" i="6"/>
  <c r="C230" i="6"/>
  <c r="F229" i="6"/>
  <c r="C229" i="6"/>
  <c r="F228" i="6"/>
  <c r="C228" i="6"/>
  <c r="F227" i="6"/>
  <c r="C227" i="6"/>
  <c r="F226" i="6"/>
  <c r="C226" i="6"/>
  <c r="F225" i="6"/>
  <c r="C225" i="6"/>
  <c r="F224" i="6"/>
  <c r="C224" i="6"/>
  <c r="F223" i="6"/>
  <c r="C223" i="6"/>
  <c r="F222" i="6"/>
  <c r="C222" i="6"/>
  <c r="F221" i="6"/>
  <c r="C221" i="6"/>
  <c r="F220" i="6"/>
  <c r="C220" i="6"/>
  <c r="F219" i="6"/>
  <c r="C219" i="6"/>
  <c r="F218" i="6"/>
  <c r="C218" i="6"/>
  <c r="F217" i="6"/>
  <c r="C217" i="6"/>
  <c r="F216" i="6"/>
  <c r="C216" i="6"/>
  <c r="F215" i="6"/>
  <c r="C215" i="6"/>
  <c r="F214" i="6"/>
  <c r="C214" i="6"/>
  <c r="F213" i="6"/>
  <c r="C213" i="6"/>
  <c r="F212" i="6"/>
  <c r="C212" i="6"/>
  <c r="F211" i="6"/>
  <c r="C211" i="6"/>
  <c r="F210" i="6"/>
  <c r="C210" i="6"/>
  <c r="F209" i="6"/>
  <c r="C209" i="6"/>
  <c r="F208" i="6"/>
  <c r="C208" i="6"/>
  <c r="F207" i="6"/>
  <c r="C207" i="6"/>
  <c r="F206" i="6"/>
  <c r="C206" i="6"/>
  <c r="F205" i="6"/>
  <c r="C205" i="6"/>
  <c r="F204" i="6"/>
  <c r="C204" i="6"/>
  <c r="F203" i="6"/>
  <c r="C203" i="6"/>
  <c r="F202" i="6"/>
  <c r="C202" i="6"/>
  <c r="F201" i="6"/>
  <c r="C201" i="6"/>
  <c r="F200" i="6"/>
  <c r="C200" i="6"/>
  <c r="F199" i="6"/>
  <c r="C199" i="6"/>
  <c r="F198" i="6"/>
  <c r="C198" i="6"/>
  <c r="F197" i="6"/>
  <c r="C197" i="6"/>
  <c r="F196" i="6"/>
  <c r="C196" i="6"/>
  <c r="F195" i="6"/>
  <c r="C195" i="6"/>
  <c r="F194" i="6"/>
  <c r="C194" i="6"/>
  <c r="F193" i="6"/>
  <c r="C193" i="6"/>
  <c r="F192" i="6"/>
  <c r="C192" i="6"/>
  <c r="F191" i="6"/>
  <c r="C191" i="6"/>
  <c r="F190" i="6"/>
  <c r="C190" i="6"/>
  <c r="F189" i="6"/>
  <c r="C189" i="6"/>
  <c r="F188" i="6"/>
  <c r="C188" i="6"/>
  <c r="F187" i="6"/>
  <c r="C187" i="6"/>
  <c r="F186" i="6"/>
  <c r="C186" i="6"/>
  <c r="F185" i="6"/>
  <c r="C185" i="6"/>
  <c r="F184" i="6"/>
  <c r="C184" i="6"/>
  <c r="F183" i="6"/>
  <c r="C183" i="6"/>
  <c r="F182" i="6"/>
  <c r="C182" i="6"/>
  <c r="F181" i="6"/>
  <c r="C181" i="6"/>
  <c r="F180" i="6"/>
  <c r="C180" i="6"/>
  <c r="F179" i="6"/>
  <c r="C179" i="6"/>
  <c r="F178" i="6"/>
  <c r="C178" i="6"/>
  <c r="F177" i="6"/>
  <c r="C177" i="6"/>
  <c r="F176" i="6"/>
  <c r="C176" i="6"/>
  <c r="F175" i="6"/>
  <c r="C175" i="6"/>
  <c r="F174" i="6"/>
  <c r="C174" i="6"/>
  <c r="F173" i="6"/>
  <c r="C173" i="6"/>
  <c r="F172" i="6"/>
  <c r="C172" i="6"/>
  <c r="F171" i="6"/>
  <c r="C171" i="6"/>
  <c r="F170" i="6"/>
  <c r="C170" i="6"/>
  <c r="F169" i="6"/>
  <c r="C169" i="6"/>
  <c r="F168" i="6"/>
  <c r="C168" i="6"/>
  <c r="F167" i="6"/>
  <c r="C167" i="6"/>
  <c r="F166" i="6"/>
  <c r="C166" i="6"/>
  <c r="F165" i="6"/>
  <c r="C165" i="6"/>
  <c r="F164" i="6"/>
  <c r="C164" i="6"/>
  <c r="F163" i="6"/>
  <c r="C163" i="6"/>
  <c r="F162" i="6"/>
  <c r="C162" i="6"/>
  <c r="F161" i="6"/>
  <c r="C161" i="6"/>
  <c r="F160" i="6"/>
  <c r="C160" i="6"/>
  <c r="F159" i="6"/>
  <c r="C159" i="6"/>
  <c r="F158" i="6"/>
  <c r="C158" i="6"/>
  <c r="F157" i="6"/>
  <c r="C157" i="6"/>
  <c r="F156" i="6"/>
  <c r="C156" i="6"/>
  <c r="F155" i="6"/>
  <c r="C155" i="6"/>
  <c r="F154" i="6"/>
  <c r="C154" i="6"/>
  <c r="F153" i="6"/>
  <c r="C153" i="6"/>
  <c r="F152" i="6"/>
  <c r="C152" i="6"/>
  <c r="F151" i="6"/>
  <c r="C151" i="6"/>
  <c r="F150" i="6"/>
  <c r="C150" i="6"/>
  <c r="F149" i="6"/>
  <c r="C149" i="6"/>
  <c r="F148" i="6"/>
  <c r="C148" i="6"/>
  <c r="F147" i="6"/>
  <c r="C147" i="6"/>
  <c r="F146" i="6"/>
  <c r="C146" i="6"/>
  <c r="F145" i="6"/>
  <c r="C145" i="6"/>
  <c r="F144" i="6"/>
  <c r="C144" i="6"/>
  <c r="F143" i="6"/>
  <c r="C143" i="6"/>
  <c r="F142" i="6"/>
  <c r="C142" i="6"/>
  <c r="F141" i="6"/>
  <c r="C141" i="6"/>
  <c r="F140" i="6"/>
  <c r="C140" i="6"/>
  <c r="F139" i="6"/>
  <c r="C139" i="6"/>
  <c r="F138" i="6"/>
  <c r="C138" i="6"/>
  <c r="F137" i="6"/>
  <c r="C137" i="6"/>
  <c r="F136" i="6"/>
  <c r="C136" i="6"/>
  <c r="F135" i="6"/>
  <c r="C135" i="6"/>
  <c r="F134" i="6"/>
  <c r="C134" i="6"/>
  <c r="F133" i="6"/>
  <c r="C133" i="6"/>
  <c r="F132" i="6"/>
  <c r="C132" i="6"/>
  <c r="F131" i="6"/>
  <c r="C131" i="6"/>
  <c r="F130" i="6"/>
  <c r="C130" i="6"/>
  <c r="F129" i="6"/>
  <c r="C129" i="6"/>
  <c r="F128" i="6"/>
  <c r="C128" i="6"/>
  <c r="F127" i="6"/>
  <c r="C127" i="6"/>
  <c r="F126" i="6"/>
  <c r="C126" i="6"/>
  <c r="F125" i="6"/>
  <c r="C125" i="6"/>
  <c r="F124" i="6"/>
  <c r="C124" i="6"/>
  <c r="F123" i="6"/>
  <c r="C123" i="6"/>
  <c r="F122" i="6"/>
  <c r="C122" i="6"/>
  <c r="F121" i="6"/>
  <c r="C121" i="6"/>
  <c r="F120" i="6"/>
  <c r="C120" i="6"/>
  <c r="F119" i="6"/>
  <c r="C119" i="6"/>
  <c r="F118" i="6"/>
  <c r="C118" i="6"/>
  <c r="F117" i="6"/>
  <c r="C117" i="6"/>
  <c r="F116" i="6"/>
  <c r="C116" i="6"/>
  <c r="F115" i="6"/>
  <c r="C115" i="6"/>
  <c r="F114" i="6"/>
  <c r="C114" i="6"/>
  <c r="F113" i="6"/>
  <c r="C113" i="6"/>
  <c r="F112" i="6"/>
  <c r="C112" i="6"/>
  <c r="F111" i="6"/>
  <c r="C111" i="6"/>
  <c r="F110" i="6"/>
  <c r="C110" i="6"/>
  <c r="F109" i="6"/>
  <c r="C109" i="6"/>
  <c r="F108" i="6"/>
  <c r="C108" i="6"/>
  <c r="F107" i="6"/>
  <c r="C107" i="6"/>
  <c r="F106" i="6"/>
  <c r="C106" i="6"/>
  <c r="F105" i="6"/>
  <c r="C105" i="6"/>
  <c r="F104" i="6"/>
  <c r="C104" i="6"/>
  <c r="F103" i="6"/>
  <c r="C103" i="6"/>
  <c r="F102" i="6"/>
  <c r="C102" i="6"/>
  <c r="F101" i="6"/>
  <c r="C101" i="6"/>
  <c r="F100" i="6"/>
  <c r="C100" i="6"/>
  <c r="F99" i="6"/>
  <c r="C99" i="6"/>
  <c r="F98" i="6"/>
  <c r="C98" i="6"/>
  <c r="F97" i="6"/>
  <c r="C97" i="6"/>
  <c r="F96" i="6"/>
  <c r="C96" i="6"/>
  <c r="F95" i="6"/>
  <c r="C95" i="6"/>
  <c r="F94" i="6"/>
  <c r="C94" i="6"/>
  <c r="F93" i="6"/>
  <c r="C93" i="6"/>
  <c r="F92" i="6"/>
  <c r="C92" i="6"/>
  <c r="F91" i="6"/>
  <c r="C91" i="6"/>
  <c r="F90" i="6"/>
  <c r="C90" i="6"/>
  <c r="F89" i="6"/>
  <c r="C89" i="6"/>
  <c r="F88" i="6"/>
  <c r="C88" i="6"/>
  <c r="F87" i="6"/>
  <c r="C87" i="6"/>
  <c r="F86" i="6"/>
  <c r="C86" i="6"/>
  <c r="F85" i="6"/>
  <c r="C85" i="6"/>
  <c r="F84" i="6"/>
  <c r="C84" i="6"/>
  <c r="F83" i="6"/>
  <c r="C83" i="6"/>
  <c r="F82" i="6"/>
  <c r="C82" i="6"/>
  <c r="F81" i="6"/>
  <c r="C81" i="6"/>
  <c r="F80" i="6"/>
  <c r="C80" i="6"/>
  <c r="F79" i="6"/>
  <c r="C79" i="6"/>
  <c r="F78" i="6"/>
  <c r="C78" i="6"/>
  <c r="F77" i="6"/>
  <c r="C77" i="6"/>
  <c r="F76" i="6"/>
  <c r="C76" i="6"/>
  <c r="F75" i="6"/>
  <c r="C75" i="6"/>
  <c r="F74" i="6"/>
  <c r="C74" i="6"/>
  <c r="F73" i="6"/>
  <c r="C73" i="6"/>
  <c r="F72" i="6"/>
  <c r="C72" i="6"/>
  <c r="F71" i="6"/>
  <c r="C71" i="6"/>
  <c r="F70" i="6"/>
  <c r="C70" i="6"/>
  <c r="F69" i="6"/>
  <c r="C69" i="6"/>
  <c r="F68" i="6"/>
  <c r="C68" i="6"/>
  <c r="F67" i="6"/>
  <c r="C67" i="6"/>
  <c r="F66" i="6"/>
  <c r="C66" i="6"/>
  <c r="F65" i="6"/>
  <c r="C65" i="6"/>
  <c r="F64" i="6"/>
  <c r="C64" i="6"/>
  <c r="F63" i="6"/>
  <c r="C63" i="6"/>
  <c r="F62" i="6"/>
  <c r="C62" i="6"/>
  <c r="F61" i="6"/>
  <c r="C61" i="6"/>
  <c r="F60" i="6"/>
  <c r="C60" i="6"/>
  <c r="F59" i="6"/>
  <c r="C59" i="6"/>
  <c r="F58" i="6"/>
  <c r="C58" i="6"/>
  <c r="F57" i="6"/>
  <c r="C57" i="6"/>
  <c r="F56" i="6"/>
  <c r="C56" i="6"/>
  <c r="F55" i="6"/>
  <c r="C55" i="6"/>
  <c r="F54" i="6"/>
  <c r="C54" i="6"/>
  <c r="F53" i="6"/>
  <c r="C53" i="6"/>
  <c r="F52" i="6"/>
  <c r="C52" i="6"/>
  <c r="F51" i="6"/>
  <c r="C51" i="6"/>
  <c r="F50" i="6"/>
  <c r="C50" i="6"/>
  <c r="F49" i="6"/>
  <c r="C49" i="6"/>
  <c r="F48" i="6"/>
  <c r="C48" i="6"/>
  <c r="F47" i="6"/>
  <c r="C47" i="6"/>
  <c r="F46" i="6"/>
  <c r="C46" i="6"/>
  <c r="F45" i="6"/>
  <c r="C45" i="6"/>
  <c r="F44" i="6"/>
  <c r="C44" i="6"/>
  <c r="F43" i="6"/>
  <c r="C43" i="6"/>
  <c r="F42" i="6"/>
  <c r="C42" i="6"/>
  <c r="F41" i="6"/>
  <c r="C41" i="6"/>
  <c r="F40" i="6"/>
  <c r="C40" i="6"/>
  <c r="F39" i="6"/>
  <c r="C39" i="6"/>
  <c r="F38" i="6"/>
  <c r="C38" i="6"/>
  <c r="F37" i="6"/>
  <c r="C37" i="6"/>
  <c r="F36" i="6"/>
  <c r="C36" i="6"/>
  <c r="F35" i="6"/>
  <c r="C35" i="6"/>
  <c r="F34" i="6"/>
  <c r="C34" i="6"/>
  <c r="F33" i="6"/>
  <c r="C33" i="6"/>
  <c r="F32" i="6"/>
  <c r="C32" i="6"/>
  <c r="F31" i="6"/>
  <c r="C31" i="6"/>
  <c r="F30" i="6"/>
  <c r="C30" i="6"/>
  <c r="F29" i="6"/>
  <c r="C29" i="6"/>
  <c r="F28" i="6"/>
  <c r="C28" i="6"/>
  <c r="F27" i="6"/>
  <c r="C27" i="6"/>
  <c r="F26" i="6"/>
  <c r="C26" i="6"/>
  <c r="F25" i="6"/>
  <c r="C25" i="6"/>
  <c r="F24" i="6"/>
  <c r="C24" i="6"/>
  <c r="F23" i="6"/>
  <c r="C23" i="6"/>
  <c r="A23" i="6"/>
  <c r="A34" i="6" s="1"/>
  <c r="A45" i="6" s="1"/>
  <c r="A56" i="6" s="1"/>
  <c r="A67" i="6" s="1"/>
  <c r="A78" i="6" s="1"/>
  <c r="A89" i="6" s="1"/>
  <c r="A100" i="6" s="1"/>
  <c r="A111" i="6" s="1"/>
  <c r="A122" i="6" s="1"/>
  <c r="A133" i="6" s="1"/>
  <c r="A144" i="6" s="1"/>
  <c r="A155" i="6" s="1"/>
  <c r="A166" i="6" s="1"/>
  <c r="A177" i="6" s="1"/>
  <c r="F22" i="6"/>
  <c r="C22" i="6"/>
  <c r="A22" i="6"/>
  <c r="A33" i="6" s="1"/>
  <c r="A44" i="6" s="1"/>
  <c r="A55" i="6" s="1"/>
  <c r="A66" i="6" s="1"/>
  <c r="A77" i="6" s="1"/>
  <c r="A88" i="6" s="1"/>
  <c r="A99" i="6" s="1"/>
  <c r="A110" i="6" s="1"/>
  <c r="A121" i="6" s="1"/>
  <c r="A132" i="6" s="1"/>
  <c r="A143" i="6" s="1"/>
  <c r="A154" i="6" s="1"/>
  <c r="A165" i="6" s="1"/>
  <c r="A176" i="6" s="1"/>
  <c r="F21" i="6"/>
  <c r="C21" i="6"/>
  <c r="A21" i="6"/>
  <c r="A32" i="6" s="1"/>
  <c r="A43" i="6" s="1"/>
  <c r="A54" i="6" s="1"/>
  <c r="A65" i="6" s="1"/>
  <c r="A76" i="6" s="1"/>
  <c r="A87" i="6" s="1"/>
  <c r="A98" i="6" s="1"/>
  <c r="A109" i="6" s="1"/>
  <c r="A120" i="6" s="1"/>
  <c r="A131" i="6" s="1"/>
  <c r="A142" i="6" s="1"/>
  <c r="A153" i="6" s="1"/>
  <c r="A164" i="6" s="1"/>
  <c r="A175" i="6" s="1"/>
  <c r="F20" i="6"/>
  <c r="C20" i="6"/>
  <c r="A20" i="6"/>
  <c r="A31" i="6" s="1"/>
  <c r="A42" i="6" s="1"/>
  <c r="A53" i="6" s="1"/>
  <c r="A64" i="6" s="1"/>
  <c r="A75" i="6" s="1"/>
  <c r="A86" i="6" s="1"/>
  <c r="A97" i="6" s="1"/>
  <c r="A108" i="6" s="1"/>
  <c r="A119" i="6" s="1"/>
  <c r="A130" i="6" s="1"/>
  <c r="A141" i="6" s="1"/>
  <c r="A152" i="6" s="1"/>
  <c r="A163" i="6" s="1"/>
  <c r="A174" i="6" s="1"/>
  <c r="F19" i="6"/>
  <c r="C19" i="6"/>
  <c r="A19" i="6"/>
  <c r="A30" i="6" s="1"/>
  <c r="A41" i="6" s="1"/>
  <c r="A52" i="6" s="1"/>
  <c r="A63" i="6" s="1"/>
  <c r="A74" i="6" s="1"/>
  <c r="A85" i="6" s="1"/>
  <c r="A96" i="6" s="1"/>
  <c r="A107" i="6" s="1"/>
  <c r="A118" i="6" s="1"/>
  <c r="A129" i="6" s="1"/>
  <c r="A140" i="6" s="1"/>
  <c r="A151" i="6" s="1"/>
  <c r="A162" i="6" s="1"/>
  <c r="A173" i="6" s="1"/>
  <c r="F18" i="6"/>
  <c r="C18" i="6"/>
  <c r="A18" i="6"/>
  <c r="A29" i="6" s="1"/>
  <c r="A40" i="6" s="1"/>
  <c r="A51" i="6" s="1"/>
  <c r="A62" i="6" s="1"/>
  <c r="A73" i="6" s="1"/>
  <c r="A84" i="6" s="1"/>
  <c r="A95" i="6" s="1"/>
  <c r="A106" i="6" s="1"/>
  <c r="A117" i="6" s="1"/>
  <c r="A128" i="6" s="1"/>
  <c r="A139" i="6" s="1"/>
  <c r="A150" i="6" s="1"/>
  <c r="A161" i="6" s="1"/>
  <c r="A172" i="6" s="1"/>
  <c r="F17" i="6"/>
  <c r="C17" i="6"/>
  <c r="A17" i="6"/>
  <c r="A28" i="6" s="1"/>
  <c r="A39" i="6" s="1"/>
  <c r="A50" i="6" s="1"/>
  <c r="A61" i="6" s="1"/>
  <c r="A72" i="6" s="1"/>
  <c r="A83" i="6" s="1"/>
  <c r="A94" i="6" s="1"/>
  <c r="A105" i="6" s="1"/>
  <c r="A116" i="6" s="1"/>
  <c r="A127" i="6" s="1"/>
  <c r="A138" i="6" s="1"/>
  <c r="A149" i="6" s="1"/>
  <c r="A160" i="6" s="1"/>
  <c r="A171" i="6" s="1"/>
  <c r="F16" i="6"/>
  <c r="C16" i="6"/>
  <c r="A16" i="6"/>
  <c r="A27" i="6" s="1"/>
  <c r="A38" i="6" s="1"/>
  <c r="A49" i="6" s="1"/>
  <c r="A60" i="6" s="1"/>
  <c r="A71" i="6" s="1"/>
  <c r="A82" i="6" s="1"/>
  <c r="A93" i="6" s="1"/>
  <c r="A104" i="6" s="1"/>
  <c r="A115" i="6" s="1"/>
  <c r="A126" i="6" s="1"/>
  <c r="A137" i="6" s="1"/>
  <c r="A148" i="6" s="1"/>
  <c r="A159" i="6" s="1"/>
  <c r="A170" i="6" s="1"/>
  <c r="F15" i="6"/>
  <c r="C15" i="6"/>
  <c r="A15" i="6"/>
  <c r="A26" i="6" s="1"/>
  <c r="A37" i="6" s="1"/>
  <c r="A48" i="6" s="1"/>
  <c r="A59" i="6" s="1"/>
  <c r="A70" i="6" s="1"/>
  <c r="A81" i="6" s="1"/>
  <c r="A92" i="6" s="1"/>
  <c r="A103" i="6" s="1"/>
  <c r="A114" i="6" s="1"/>
  <c r="A125" i="6" s="1"/>
  <c r="A136" i="6" s="1"/>
  <c r="A147" i="6" s="1"/>
  <c r="A158" i="6" s="1"/>
  <c r="A169" i="6" s="1"/>
  <c r="F14" i="6"/>
  <c r="C14" i="6"/>
  <c r="A14" i="6"/>
  <c r="A25" i="6" s="1"/>
  <c r="A36" i="6" s="1"/>
  <c r="A47" i="6" s="1"/>
  <c r="A58" i="6" s="1"/>
  <c r="A69" i="6" s="1"/>
  <c r="A80" i="6" s="1"/>
  <c r="A91" i="6" s="1"/>
  <c r="A102" i="6" s="1"/>
  <c r="A113" i="6" s="1"/>
  <c r="A124" i="6" s="1"/>
  <c r="A135" i="6" s="1"/>
  <c r="A146" i="6" s="1"/>
  <c r="A157" i="6" s="1"/>
  <c r="A168" i="6" s="1"/>
  <c r="F13" i="6"/>
  <c r="C13" i="6"/>
  <c r="A13" i="6"/>
  <c r="A24" i="6" s="1"/>
  <c r="A35" i="6" s="1"/>
  <c r="A46" i="6" s="1"/>
  <c r="A57" i="6" s="1"/>
  <c r="A68" i="6" s="1"/>
  <c r="A79" i="6" s="1"/>
  <c r="A90" i="6" s="1"/>
  <c r="A101" i="6" s="1"/>
  <c r="A112" i="6" s="1"/>
  <c r="A123" i="6" s="1"/>
  <c r="A134" i="6" s="1"/>
  <c r="A145" i="6" s="1"/>
  <c r="A156" i="6" s="1"/>
  <c r="A167" i="6" s="1"/>
  <c r="F12" i="6"/>
  <c r="C12" i="6"/>
  <c r="F11" i="6"/>
  <c r="C11" i="6"/>
  <c r="F10" i="6"/>
  <c r="C10" i="6"/>
  <c r="F9" i="6"/>
  <c r="C9" i="6"/>
  <c r="F8" i="6"/>
  <c r="C8" i="6"/>
  <c r="F7" i="6"/>
  <c r="C7" i="6"/>
  <c r="F6" i="6"/>
  <c r="C6" i="6"/>
  <c r="F5" i="6"/>
  <c r="C5" i="6"/>
  <c r="F4" i="6"/>
  <c r="C4" i="6"/>
  <c r="F3" i="6"/>
  <c r="C3" i="6"/>
  <c r="F2" i="6"/>
  <c r="C2" i="6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B274" i="7" l="1"/>
  <c r="B273" i="7"/>
  <c r="B272" i="7"/>
  <c r="B271" i="7"/>
  <c r="B270" i="7"/>
  <c r="B269" i="7"/>
  <c r="B268" i="7"/>
  <c r="B261" i="7"/>
  <c r="B260" i="7"/>
  <c r="B259" i="7"/>
  <c r="B258" i="7"/>
  <c r="B257" i="7"/>
  <c r="B256" i="7"/>
  <c r="B255" i="7"/>
  <c r="B254" i="7"/>
  <c r="B253" i="7"/>
  <c r="B250" i="7"/>
  <c r="B249" i="7"/>
  <c r="B216" i="7"/>
  <c r="B197" i="7"/>
  <c r="B196" i="7"/>
  <c r="B195" i="7"/>
  <c r="B194" i="7"/>
  <c r="B193" i="7"/>
  <c r="B190" i="7"/>
  <c r="B189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8" i="7"/>
  <c r="B167" i="7"/>
  <c r="B166" i="7"/>
  <c r="B165" i="7"/>
  <c r="B162" i="7"/>
  <c r="B161" i="7"/>
  <c r="B160" i="7"/>
  <c r="B159" i="7"/>
  <c r="B158" i="7"/>
  <c r="B157" i="7"/>
  <c r="B156" i="7"/>
  <c r="B150" i="7"/>
  <c r="B148" i="7"/>
  <c r="B147" i="7"/>
  <c r="B144" i="7"/>
  <c r="B143" i="7"/>
  <c r="B142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3" i="7"/>
  <c r="B102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1" i="7"/>
  <c r="B70" i="7"/>
  <c r="B69" i="7"/>
  <c r="B68" i="7"/>
  <c r="B67" i="7"/>
  <c r="B66" i="7"/>
  <c r="B65" i="7"/>
  <c r="B61" i="7"/>
  <c r="B59" i="7"/>
  <c r="B58" i="7"/>
  <c r="B57" i="7"/>
  <c r="B56" i="7"/>
  <c r="D56" i="7" s="1"/>
  <c r="B55" i="7"/>
  <c r="B54" i="7"/>
  <c r="B53" i="7"/>
  <c r="B52" i="7"/>
  <c r="B51" i="7"/>
  <c r="B50" i="7"/>
  <c r="B49" i="7"/>
  <c r="B47" i="7"/>
  <c r="B43" i="7"/>
  <c r="B42" i="7"/>
  <c r="B41" i="7"/>
  <c r="B40" i="7"/>
  <c r="B39" i="7"/>
  <c r="B38" i="7"/>
  <c r="B37" i="7"/>
  <c r="G37" i="7" s="1"/>
  <c r="B36" i="7"/>
  <c r="B32" i="7"/>
  <c r="B29" i="7"/>
  <c r="B28" i="7"/>
  <c r="B27" i="7"/>
  <c r="B26" i="7"/>
  <c r="B25" i="7"/>
  <c r="B24" i="7"/>
  <c r="E24" i="7" s="1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E6" i="7" s="1"/>
  <c r="B5" i="7"/>
  <c r="B4" i="7"/>
  <c r="B3" i="7"/>
  <c r="B2" i="7"/>
  <c r="E2" i="7" s="1"/>
  <c r="F2" i="7" s="1"/>
  <c r="B40" i="5"/>
  <c r="B264" i="7" s="1"/>
  <c r="B39" i="5"/>
  <c r="B38" i="5"/>
  <c r="B37" i="5"/>
  <c r="B237" i="7" s="1"/>
  <c r="B36" i="5"/>
  <c r="B246" i="7" s="1"/>
  <c r="B35" i="5"/>
  <c r="B248" i="7" s="1"/>
  <c r="B34" i="5"/>
  <c r="B224" i="7" s="1"/>
  <c r="B33" i="5"/>
  <c r="B230" i="7" s="1"/>
  <c r="B32" i="5"/>
  <c r="B212" i="7" s="1"/>
  <c r="B31" i="5"/>
  <c r="B204" i="7" s="1"/>
  <c r="B30" i="5"/>
  <c r="B192" i="7" s="1"/>
  <c r="B29" i="5"/>
  <c r="B211" i="7" s="1"/>
  <c r="B28" i="5"/>
  <c r="B188" i="7" s="1"/>
  <c r="B27" i="5"/>
  <c r="B26" i="5"/>
  <c r="B25" i="5"/>
  <c r="B149" i="7" s="1"/>
  <c r="B24" i="5"/>
  <c r="B164" i="7" s="1"/>
  <c r="B23" i="5"/>
  <c r="B22" i="5"/>
  <c r="B146" i="7" s="1"/>
  <c r="B21" i="5"/>
  <c r="B137" i="7" s="1"/>
  <c r="B20" i="5"/>
  <c r="B134" i="7" s="1"/>
  <c r="B19" i="5"/>
  <c r="B18" i="5"/>
  <c r="B17" i="5"/>
  <c r="B16" i="5"/>
  <c r="B101" i="7" s="1"/>
  <c r="B15" i="5"/>
  <c r="B14" i="5"/>
  <c r="B13" i="5"/>
  <c r="B12" i="5"/>
  <c r="B11" i="5"/>
  <c r="B77" i="7" s="1"/>
  <c r="B10" i="5"/>
  <c r="B48" i="7" s="1"/>
  <c r="B9" i="5"/>
  <c r="B64" i="7" s="1"/>
  <c r="B8" i="5"/>
  <c r="B7" i="5"/>
  <c r="B6" i="5"/>
  <c r="B5" i="5"/>
  <c r="B4" i="5"/>
  <c r="B3" i="5"/>
  <c r="B2" i="5"/>
  <c r="I274" i="7"/>
  <c r="I267" i="7"/>
  <c r="I260" i="7"/>
  <c r="I253" i="7"/>
  <c r="I246" i="7"/>
  <c r="I239" i="7"/>
  <c r="I232" i="7"/>
  <c r="I225" i="7"/>
  <c r="I218" i="7"/>
  <c r="I197" i="7"/>
  <c r="I211" i="7"/>
  <c r="I204" i="7"/>
  <c r="I190" i="7"/>
  <c r="I183" i="7"/>
  <c r="I176" i="7"/>
  <c r="I162" i="7"/>
  <c r="I155" i="7"/>
  <c r="I169" i="7"/>
  <c r="I148" i="7"/>
  <c r="I141" i="7"/>
  <c r="I134" i="7"/>
  <c r="I127" i="7"/>
  <c r="I120" i="7"/>
  <c r="I113" i="7"/>
  <c r="I106" i="7"/>
  <c r="I99" i="7"/>
  <c r="I92" i="7"/>
  <c r="I85" i="7"/>
  <c r="I78" i="7"/>
  <c r="I71" i="7"/>
  <c r="I57" i="7"/>
  <c r="I50" i="7"/>
  <c r="I64" i="7"/>
  <c r="I43" i="7"/>
  <c r="I36" i="7"/>
  <c r="I29" i="7"/>
  <c r="I22" i="7"/>
  <c r="I15" i="7"/>
  <c r="I8" i="7"/>
  <c r="I273" i="7"/>
  <c r="I266" i="7"/>
  <c r="I259" i="7"/>
  <c r="I252" i="7"/>
  <c r="I245" i="7"/>
  <c r="I238" i="7"/>
  <c r="I231" i="7"/>
  <c r="I224" i="7"/>
  <c r="I217" i="7"/>
  <c r="I196" i="7"/>
  <c r="I210" i="7"/>
  <c r="I203" i="7"/>
  <c r="I189" i="7"/>
  <c r="I182" i="7"/>
  <c r="I175" i="7"/>
  <c r="I161" i="7"/>
  <c r="I154" i="7"/>
  <c r="I168" i="7"/>
  <c r="I147" i="7"/>
  <c r="I140" i="7"/>
  <c r="I133" i="7"/>
  <c r="I126" i="7"/>
  <c r="I119" i="7"/>
  <c r="I112" i="7"/>
  <c r="I105" i="7"/>
  <c r="I98" i="7"/>
  <c r="I91" i="7"/>
  <c r="I84" i="7"/>
  <c r="I77" i="7"/>
  <c r="I70" i="7"/>
  <c r="I56" i="7"/>
  <c r="I49" i="7"/>
  <c r="I63" i="7"/>
  <c r="I42" i="7"/>
  <c r="I35" i="7"/>
  <c r="I28" i="7"/>
  <c r="I21" i="7"/>
  <c r="I14" i="7"/>
  <c r="I7" i="7"/>
  <c r="I272" i="7"/>
  <c r="I265" i="7"/>
  <c r="I258" i="7"/>
  <c r="I251" i="7"/>
  <c r="I244" i="7"/>
  <c r="I237" i="7"/>
  <c r="I230" i="7"/>
  <c r="I223" i="7"/>
  <c r="I216" i="7"/>
  <c r="I195" i="7"/>
  <c r="I209" i="7"/>
  <c r="I202" i="7"/>
  <c r="I188" i="7"/>
  <c r="I181" i="7"/>
  <c r="I174" i="7"/>
  <c r="I160" i="7"/>
  <c r="I153" i="7"/>
  <c r="I167" i="7"/>
  <c r="I146" i="7"/>
  <c r="I139" i="7"/>
  <c r="I132" i="7"/>
  <c r="I125" i="7"/>
  <c r="I118" i="7"/>
  <c r="I111" i="7"/>
  <c r="I104" i="7"/>
  <c r="I97" i="7"/>
  <c r="I90" i="7"/>
  <c r="I83" i="7"/>
  <c r="I76" i="7"/>
  <c r="I69" i="7"/>
  <c r="I55" i="7"/>
  <c r="I48" i="7"/>
  <c r="I62" i="7"/>
  <c r="I41" i="7"/>
  <c r="I34" i="7"/>
  <c r="I27" i="7"/>
  <c r="I20" i="7"/>
  <c r="I13" i="7"/>
  <c r="I6" i="7"/>
  <c r="I271" i="7"/>
  <c r="I264" i="7"/>
  <c r="I257" i="7"/>
  <c r="I250" i="7"/>
  <c r="I243" i="7"/>
  <c r="I236" i="7"/>
  <c r="I229" i="7"/>
  <c r="I222" i="7"/>
  <c r="I215" i="7"/>
  <c r="I194" i="7"/>
  <c r="I208" i="7"/>
  <c r="I201" i="7"/>
  <c r="I187" i="7"/>
  <c r="I180" i="7"/>
  <c r="I173" i="7"/>
  <c r="I159" i="7"/>
  <c r="I152" i="7"/>
  <c r="I166" i="7"/>
  <c r="I145" i="7"/>
  <c r="I138" i="7"/>
  <c r="I131" i="7"/>
  <c r="I124" i="7"/>
  <c r="I117" i="7"/>
  <c r="I110" i="7"/>
  <c r="I103" i="7"/>
  <c r="I96" i="7"/>
  <c r="I89" i="7"/>
  <c r="I82" i="7"/>
  <c r="I75" i="7"/>
  <c r="I68" i="7"/>
  <c r="I54" i="7"/>
  <c r="I47" i="7"/>
  <c r="I61" i="7"/>
  <c r="I40" i="7"/>
  <c r="I33" i="7"/>
  <c r="I26" i="7"/>
  <c r="I19" i="7"/>
  <c r="I12" i="7"/>
  <c r="I5" i="7"/>
  <c r="I270" i="7"/>
  <c r="I263" i="7"/>
  <c r="I256" i="7"/>
  <c r="I249" i="7"/>
  <c r="I242" i="7"/>
  <c r="I235" i="7"/>
  <c r="I228" i="7"/>
  <c r="I221" i="7"/>
  <c r="I214" i="7"/>
  <c r="I193" i="7"/>
  <c r="I207" i="7"/>
  <c r="I200" i="7"/>
  <c r="I186" i="7"/>
  <c r="I179" i="7"/>
  <c r="I172" i="7"/>
  <c r="I158" i="7"/>
  <c r="I151" i="7"/>
  <c r="I165" i="7"/>
  <c r="I144" i="7"/>
  <c r="I137" i="7"/>
  <c r="I130" i="7"/>
  <c r="I123" i="7"/>
  <c r="I116" i="7"/>
  <c r="I109" i="7"/>
  <c r="I102" i="7"/>
  <c r="I95" i="7"/>
  <c r="I88" i="7"/>
  <c r="I81" i="7"/>
  <c r="I74" i="7"/>
  <c r="I67" i="7"/>
  <c r="I53" i="7"/>
  <c r="I46" i="7"/>
  <c r="I60" i="7"/>
  <c r="I39" i="7"/>
  <c r="I32" i="7"/>
  <c r="I25" i="7"/>
  <c r="I18" i="7"/>
  <c r="I11" i="7"/>
  <c r="I4" i="7"/>
  <c r="I269" i="7"/>
  <c r="I262" i="7"/>
  <c r="I255" i="7"/>
  <c r="I248" i="7"/>
  <c r="I241" i="7"/>
  <c r="I234" i="7"/>
  <c r="I227" i="7"/>
  <c r="I220" i="7"/>
  <c r="I213" i="7"/>
  <c r="I192" i="7"/>
  <c r="I206" i="7"/>
  <c r="I199" i="7"/>
  <c r="I185" i="7"/>
  <c r="I178" i="7"/>
  <c r="I171" i="7"/>
  <c r="I157" i="7"/>
  <c r="I150" i="7"/>
  <c r="I164" i="7"/>
  <c r="I143" i="7"/>
  <c r="I136" i="7"/>
  <c r="I129" i="7"/>
  <c r="I122" i="7"/>
  <c r="I115" i="7"/>
  <c r="I108" i="7"/>
  <c r="I101" i="7"/>
  <c r="I94" i="7"/>
  <c r="I87" i="7"/>
  <c r="I80" i="7"/>
  <c r="I73" i="7"/>
  <c r="I66" i="7"/>
  <c r="I52" i="7"/>
  <c r="I45" i="7"/>
  <c r="I59" i="7"/>
  <c r="I38" i="7"/>
  <c r="I31" i="7"/>
  <c r="I24" i="7"/>
  <c r="I17" i="7"/>
  <c r="I10" i="7"/>
  <c r="I3" i="7"/>
  <c r="I268" i="7"/>
  <c r="I261" i="7"/>
  <c r="I254" i="7"/>
  <c r="I247" i="7"/>
  <c r="I240" i="7"/>
  <c r="I233" i="7"/>
  <c r="I226" i="7"/>
  <c r="I219" i="7"/>
  <c r="I212" i="7"/>
  <c r="I191" i="7"/>
  <c r="I205" i="7"/>
  <c r="I198" i="7"/>
  <c r="I184" i="7"/>
  <c r="I177" i="7"/>
  <c r="I170" i="7"/>
  <c r="I156" i="7"/>
  <c r="I149" i="7"/>
  <c r="I163" i="7"/>
  <c r="I142" i="7"/>
  <c r="I135" i="7"/>
  <c r="I128" i="7"/>
  <c r="I121" i="7"/>
  <c r="I114" i="7"/>
  <c r="I107" i="7"/>
  <c r="I100" i="7"/>
  <c r="I93" i="7"/>
  <c r="I86" i="7"/>
  <c r="I79" i="7"/>
  <c r="I72" i="7"/>
  <c r="I65" i="7"/>
  <c r="I51" i="7"/>
  <c r="I44" i="7"/>
  <c r="I58" i="7"/>
  <c r="I37" i="7"/>
  <c r="I30" i="7"/>
  <c r="I23" i="7"/>
  <c r="I16" i="7"/>
  <c r="I9" i="7"/>
  <c r="I2" i="7"/>
  <c r="A3" i="4"/>
  <c r="A4" i="4" s="1"/>
  <c r="A5" i="4" s="1"/>
  <c r="A6" i="4" s="1"/>
  <c r="A7" i="4" s="1"/>
  <c r="A8" i="4" s="1"/>
  <c r="A9" i="4" s="1"/>
  <c r="D23" i="2"/>
  <c r="D22" i="2"/>
  <c r="D17" i="2"/>
  <c r="D12" i="2"/>
  <c r="D7" i="2"/>
  <c r="D2" i="2"/>
  <c r="A3" i="1"/>
  <c r="D18" i="2" s="1"/>
  <c r="B263" i="7" l="1"/>
  <c r="B265" i="7"/>
  <c r="B266" i="7"/>
  <c r="D266" i="7" s="1"/>
  <c r="B267" i="7"/>
  <c r="E267" i="7" s="1"/>
  <c r="F267" i="7" s="1"/>
  <c r="B262" i="7"/>
  <c r="C262" i="7" s="1"/>
  <c r="B217" i="7"/>
  <c r="B213" i="7"/>
  <c r="E213" i="7" s="1"/>
  <c r="F213" i="7" s="1"/>
  <c r="B214" i="7"/>
  <c r="G214" i="7" s="1"/>
  <c r="B215" i="7"/>
  <c r="G215" i="7" s="1"/>
  <c r="B199" i="7"/>
  <c r="E199" i="7" s="1"/>
  <c r="F199" i="7" s="1"/>
  <c r="B200" i="7"/>
  <c r="C200" i="7" s="1"/>
  <c r="B201" i="7"/>
  <c r="D201" i="7" s="1"/>
  <c r="B198" i="7"/>
  <c r="E198" i="7" s="1"/>
  <c r="F198" i="7" s="1"/>
  <c r="B191" i="7"/>
  <c r="D191" i="7" s="1"/>
  <c r="B231" i="7"/>
  <c r="C231" i="7" s="1"/>
  <c r="B232" i="7"/>
  <c r="E232" i="7" s="1"/>
  <c r="F232" i="7" s="1"/>
  <c r="B225" i="7"/>
  <c r="G225" i="7" s="1"/>
  <c r="B226" i="7"/>
  <c r="E226" i="7" s="1"/>
  <c r="F226" i="7" s="1"/>
  <c r="B227" i="7"/>
  <c r="D227" i="7" s="1"/>
  <c r="B228" i="7"/>
  <c r="E228" i="7" s="1"/>
  <c r="F228" i="7" s="1"/>
  <c r="B229" i="7"/>
  <c r="E229" i="7" s="1"/>
  <c r="F229" i="7" s="1"/>
  <c r="B218" i="7"/>
  <c r="E218" i="7" s="1"/>
  <c r="F218" i="7" s="1"/>
  <c r="B138" i="7"/>
  <c r="G138" i="7" s="1"/>
  <c r="B129" i="7"/>
  <c r="G129" i="7" s="1"/>
  <c r="B130" i="7"/>
  <c r="D130" i="7" s="1"/>
  <c r="B131" i="7"/>
  <c r="C131" i="7" s="1"/>
  <c r="B132" i="7"/>
  <c r="E132" i="7" s="1"/>
  <c r="F132" i="7" s="1"/>
  <c r="B128" i="7"/>
  <c r="C128" i="7" s="1"/>
  <c r="B133" i="7"/>
  <c r="G133" i="7" s="1"/>
  <c r="B238" i="7"/>
  <c r="G238" i="7" s="1"/>
  <c r="E261" i="7"/>
  <c r="F261" i="7" s="1"/>
  <c r="B239" i="7"/>
  <c r="E239" i="7" s="1"/>
  <c r="F239" i="7" s="1"/>
  <c r="B233" i="7"/>
  <c r="C233" i="7" s="1"/>
  <c r="B234" i="7"/>
  <c r="C234" i="7" s="1"/>
  <c r="B235" i="7"/>
  <c r="C235" i="7" s="1"/>
  <c r="B236" i="7"/>
  <c r="E236" i="7" s="1"/>
  <c r="F236" i="7" s="1"/>
  <c r="B251" i="7"/>
  <c r="C251" i="7" s="1"/>
  <c r="B252" i="7"/>
  <c r="C252" i="7" s="1"/>
  <c r="B247" i="7"/>
  <c r="G247" i="7" s="1"/>
  <c r="B241" i="7"/>
  <c r="D241" i="7" s="1"/>
  <c r="B242" i="7"/>
  <c r="G242" i="7" s="1"/>
  <c r="B244" i="7"/>
  <c r="C244" i="7" s="1"/>
  <c r="B240" i="7"/>
  <c r="D240" i="7" s="1"/>
  <c r="B243" i="7"/>
  <c r="E243" i="7" s="1"/>
  <c r="F243" i="7" s="1"/>
  <c r="B245" i="7"/>
  <c r="D245" i="7" s="1"/>
  <c r="B219" i="7"/>
  <c r="G219" i="7" s="1"/>
  <c r="B222" i="7"/>
  <c r="C222" i="7" s="1"/>
  <c r="B220" i="7"/>
  <c r="E220" i="7" s="1"/>
  <c r="F220" i="7" s="1"/>
  <c r="B221" i="7"/>
  <c r="D221" i="7" s="1"/>
  <c r="B223" i="7"/>
  <c r="G223" i="7" s="1"/>
  <c r="B202" i="7"/>
  <c r="C202" i="7" s="1"/>
  <c r="B203" i="7"/>
  <c r="D203" i="7" s="1"/>
  <c r="B207" i="7"/>
  <c r="E207" i="7" s="1"/>
  <c r="F207" i="7" s="1"/>
  <c r="B209" i="7"/>
  <c r="E209" i="7" s="1"/>
  <c r="F209" i="7" s="1"/>
  <c r="B205" i="7"/>
  <c r="E205" i="7" s="1"/>
  <c r="F205" i="7" s="1"/>
  <c r="B206" i="7"/>
  <c r="G206" i="7" s="1"/>
  <c r="B208" i="7"/>
  <c r="C208" i="7" s="1"/>
  <c r="B210" i="7"/>
  <c r="C210" i="7" s="1"/>
  <c r="B187" i="7"/>
  <c r="C187" i="7" s="1"/>
  <c r="B153" i="7"/>
  <c r="G153" i="7" s="1"/>
  <c r="B151" i="7"/>
  <c r="D151" i="7" s="1"/>
  <c r="B152" i="7"/>
  <c r="D152" i="7" s="1"/>
  <c r="B154" i="7"/>
  <c r="G154" i="7" s="1"/>
  <c r="B155" i="7"/>
  <c r="C155" i="7" s="1"/>
  <c r="B145" i="7"/>
  <c r="D145" i="7" s="1"/>
  <c r="B140" i="7"/>
  <c r="E140" i="7" s="1"/>
  <c r="F140" i="7" s="1"/>
  <c r="B135" i="7"/>
  <c r="E135" i="7" s="1"/>
  <c r="F135" i="7" s="1"/>
  <c r="B141" i="7"/>
  <c r="C141" i="7" s="1"/>
  <c r="B136" i="7"/>
  <c r="D136" i="7" s="1"/>
  <c r="B139" i="7"/>
  <c r="E139" i="7" s="1"/>
  <c r="F139" i="7" s="1"/>
  <c r="B105" i="7"/>
  <c r="G105" i="7" s="1"/>
  <c r="B104" i="7"/>
  <c r="E104" i="7" s="1"/>
  <c r="F104" i="7" s="1"/>
  <c r="B106" i="7"/>
  <c r="C106" i="7" s="1"/>
  <c r="B100" i="7"/>
  <c r="D100" i="7" s="1"/>
  <c r="B72" i="7"/>
  <c r="G72" i="7" s="1"/>
  <c r="B73" i="7"/>
  <c r="C73" i="7" s="1"/>
  <c r="B74" i="7"/>
  <c r="E74" i="7" s="1"/>
  <c r="F74" i="7" s="1"/>
  <c r="B75" i="7"/>
  <c r="E75" i="7" s="1"/>
  <c r="F75" i="7" s="1"/>
  <c r="B76" i="7"/>
  <c r="C76" i="7" s="1"/>
  <c r="B44" i="7"/>
  <c r="E44" i="7" s="1"/>
  <c r="F44" i="7" s="1"/>
  <c r="B45" i="7"/>
  <c r="G45" i="7" s="1"/>
  <c r="B46" i="7"/>
  <c r="D46" i="7" s="1"/>
  <c r="D52" i="7"/>
  <c r="G81" i="7"/>
  <c r="B30" i="7"/>
  <c r="E30" i="7" s="1"/>
  <c r="F30" i="7" s="1"/>
  <c r="B31" i="7"/>
  <c r="E31" i="7" s="1"/>
  <c r="F31" i="7" s="1"/>
  <c r="B33" i="7"/>
  <c r="G33" i="7" s="1"/>
  <c r="E57" i="7"/>
  <c r="F57" i="7" s="1"/>
  <c r="B34" i="7"/>
  <c r="E34" i="7" s="1"/>
  <c r="F34" i="7" s="1"/>
  <c r="B35" i="7"/>
  <c r="D35" i="7" s="1"/>
  <c r="G47" i="7"/>
  <c r="B169" i="7"/>
  <c r="C169" i="7" s="1"/>
  <c r="B163" i="7"/>
  <c r="D163" i="7" s="1"/>
  <c r="B60" i="7"/>
  <c r="G60" i="7" s="1"/>
  <c r="E96" i="7"/>
  <c r="F96" i="7" s="1"/>
  <c r="E156" i="7"/>
  <c r="F156" i="7" s="1"/>
  <c r="B63" i="7"/>
  <c r="E63" i="7" s="1"/>
  <c r="F63" i="7" s="1"/>
  <c r="C87" i="7"/>
  <c r="E195" i="7"/>
  <c r="F195" i="7" s="1"/>
  <c r="D255" i="7"/>
  <c r="D160" i="7"/>
  <c r="E256" i="7"/>
  <c r="F256" i="7" s="1"/>
  <c r="G65" i="7"/>
  <c r="C185" i="7"/>
  <c r="B62" i="7"/>
  <c r="G62" i="7" s="1"/>
  <c r="G122" i="7"/>
  <c r="F24" i="7"/>
  <c r="D267" i="7"/>
  <c r="D211" i="7"/>
  <c r="D162" i="7"/>
  <c r="E113" i="7"/>
  <c r="F113" i="7" s="1"/>
  <c r="D85" i="7"/>
  <c r="D168" i="7"/>
  <c r="D84" i="7"/>
  <c r="E14" i="7"/>
  <c r="F14" i="7" s="1"/>
  <c r="E216" i="7"/>
  <c r="F216" i="7" s="1"/>
  <c r="C174" i="7"/>
  <c r="D125" i="7"/>
  <c r="E48" i="7"/>
  <c r="F48" i="7" s="1"/>
  <c r="G173" i="7"/>
  <c r="G166" i="7"/>
  <c r="E110" i="7"/>
  <c r="F110" i="7" s="1"/>
  <c r="G89" i="7"/>
  <c r="G68" i="7"/>
  <c r="G26" i="7"/>
  <c r="C12" i="7"/>
  <c r="D263" i="7"/>
  <c r="C193" i="7"/>
  <c r="C186" i="7"/>
  <c r="E158" i="7"/>
  <c r="F158" i="7" s="1"/>
  <c r="G144" i="7"/>
  <c r="D109" i="7"/>
  <c r="E88" i="7"/>
  <c r="F88" i="7" s="1"/>
  <c r="C32" i="7"/>
  <c r="D11" i="7"/>
  <c r="G262" i="7"/>
  <c r="G192" i="7"/>
  <c r="G171" i="7"/>
  <c r="D150" i="7"/>
  <c r="E122" i="7"/>
  <c r="F122" i="7" s="1"/>
  <c r="C108" i="7"/>
  <c r="G87" i="7"/>
  <c r="E38" i="7"/>
  <c r="F38" i="7" s="1"/>
  <c r="C24" i="7"/>
  <c r="G3" i="7"/>
  <c r="D261" i="7"/>
  <c r="C212" i="7"/>
  <c r="D177" i="7"/>
  <c r="E142" i="7"/>
  <c r="F142" i="7" s="1"/>
  <c r="G107" i="7"/>
  <c r="D93" i="7"/>
  <c r="E51" i="7"/>
  <c r="F51" i="7" s="1"/>
  <c r="C58" i="7"/>
  <c r="G23" i="7"/>
  <c r="D9" i="7"/>
  <c r="C162" i="7"/>
  <c r="G134" i="7"/>
  <c r="C85" i="7"/>
  <c r="G29" i="7"/>
  <c r="G273" i="7"/>
  <c r="E224" i="7"/>
  <c r="F224" i="7" s="1"/>
  <c r="D175" i="7"/>
  <c r="C168" i="7"/>
  <c r="C126" i="7"/>
  <c r="C84" i="7"/>
  <c r="E49" i="7"/>
  <c r="F49" i="7" s="1"/>
  <c r="C14" i="7"/>
  <c r="G258" i="7"/>
  <c r="G237" i="7"/>
  <c r="C146" i="7"/>
  <c r="C125" i="7"/>
  <c r="D48" i="7"/>
  <c r="G6" i="7"/>
  <c r="G257" i="7"/>
  <c r="E173" i="7"/>
  <c r="F173" i="7" s="1"/>
  <c r="E166" i="7"/>
  <c r="F166" i="7" s="1"/>
  <c r="D110" i="7"/>
  <c r="E89" i="7"/>
  <c r="F89" i="7" s="1"/>
  <c r="E68" i="7"/>
  <c r="F68" i="7" s="1"/>
  <c r="D61" i="7"/>
  <c r="E26" i="7"/>
  <c r="F26" i="7" s="1"/>
  <c r="C263" i="7"/>
  <c r="D158" i="7"/>
  <c r="E144" i="7"/>
  <c r="F144" i="7" s="1"/>
  <c r="G123" i="7"/>
  <c r="C109" i="7"/>
  <c r="D88" i="7"/>
  <c r="D67" i="7"/>
  <c r="C11" i="7"/>
  <c r="E262" i="7"/>
  <c r="F262" i="7" s="1"/>
  <c r="E192" i="7"/>
  <c r="F192" i="7" s="1"/>
  <c r="E171" i="7"/>
  <c r="F171" i="7" s="1"/>
  <c r="C150" i="7"/>
  <c r="D122" i="7"/>
  <c r="E87" i="7"/>
  <c r="F87" i="7" s="1"/>
  <c r="D38" i="7"/>
  <c r="E3" i="7"/>
  <c r="F3" i="7" s="1"/>
  <c r="C261" i="7"/>
  <c r="C177" i="7"/>
  <c r="G149" i="7"/>
  <c r="D142" i="7"/>
  <c r="E107" i="7"/>
  <c r="F107" i="7" s="1"/>
  <c r="C93" i="7"/>
  <c r="D51" i="7"/>
  <c r="E23" i="7"/>
  <c r="F23" i="7" s="1"/>
  <c r="C9" i="7"/>
  <c r="D120" i="7"/>
  <c r="C57" i="7"/>
  <c r="C36" i="7"/>
  <c r="E189" i="7"/>
  <c r="F189" i="7" s="1"/>
  <c r="C161" i="7"/>
  <c r="C49" i="7"/>
  <c r="E272" i="7"/>
  <c r="F272" i="7" s="1"/>
  <c r="D174" i="7"/>
  <c r="G118" i="7"/>
  <c r="G90" i="7"/>
  <c r="E69" i="7"/>
  <c r="F69" i="7" s="1"/>
  <c r="D41" i="7"/>
  <c r="C264" i="7"/>
  <c r="D89" i="7"/>
  <c r="E54" i="7"/>
  <c r="F54" i="7" s="1"/>
  <c r="E40" i="7"/>
  <c r="F40" i="7" s="1"/>
  <c r="D19" i="7"/>
  <c r="C270" i="7"/>
  <c r="C249" i="7"/>
  <c r="E179" i="7"/>
  <c r="F179" i="7" s="1"/>
  <c r="C116" i="7"/>
  <c r="D25" i="7"/>
  <c r="G248" i="7"/>
  <c r="G185" i="7"/>
  <c r="C164" i="7"/>
  <c r="G108" i="7"/>
  <c r="C94" i="7"/>
  <c r="C268" i="7"/>
  <c r="C170" i="7"/>
  <c r="C114" i="7"/>
  <c r="C16" i="7"/>
  <c r="D183" i="7"/>
  <c r="G64" i="7"/>
  <c r="G168" i="7"/>
  <c r="G98" i="7"/>
  <c r="D21" i="7"/>
  <c r="G148" i="7"/>
  <c r="C120" i="7"/>
  <c r="G85" i="7"/>
  <c r="E273" i="7"/>
  <c r="F273" i="7" s="1"/>
  <c r="G217" i="7"/>
  <c r="D189" i="7"/>
  <c r="G77" i="7"/>
  <c r="G21" i="7"/>
  <c r="D272" i="7"/>
  <c r="E118" i="7"/>
  <c r="F118" i="7" s="1"/>
  <c r="E90" i="7"/>
  <c r="F90" i="7" s="1"/>
  <c r="D69" i="7"/>
  <c r="C41" i="7"/>
  <c r="G13" i="7"/>
  <c r="G194" i="7"/>
  <c r="G110" i="7"/>
  <c r="C89" i="7"/>
  <c r="D54" i="7"/>
  <c r="D40" i="7"/>
  <c r="C19" i="7"/>
  <c r="D179" i="7"/>
  <c r="G88" i="7"/>
  <c r="C67" i="7"/>
  <c r="C25" i="7"/>
  <c r="G269" i="7"/>
  <c r="E248" i="7"/>
  <c r="F248" i="7" s="1"/>
  <c r="C192" i="7"/>
  <c r="E185" i="7"/>
  <c r="F185" i="7" s="1"/>
  <c r="G157" i="7"/>
  <c r="E108" i="7"/>
  <c r="F108" i="7" s="1"/>
  <c r="G66" i="7"/>
  <c r="G10" i="7"/>
  <c r="G184" i="7"/>
  <c r="G86" i="7"/>
  <c r="D29" i="7"/>
  <c r="G70" i="7"/>
  <c r="G188" i="7"/>
  <c r="E253" i="7"/>
  <c r="F253" i="7" s="1"/>
  <c r="E183" i="7"/>
  <c r="F183" i="7" s="1"/>
  <c r="E148" i="7"/>
  <c r="F148" i="7" s="1"/>
  <c r="E85" i="7"/>
  <c r="F85" i="7" s="1"/>
  <c r="E29" i="7"/>
  <c r="F29" i="7" s="1"/>
  <c r="D273" i="7"/>
  <c r="E217" i="7"/>
  <c r="F217" i="7" s="1"/>
  <c r="C189" i="7"/>
  <c r="E21" i="7"/>
  <c r="F21" i="7" s="1"/>
  <c r="C272" i="7"/>
  <c r="G160" i="7"/>
  <c r="C118" i="7"/>
  <c r="D90" i="7"/>
  <c r="E257" i="7"/>
  <c r="F257" i="7" s="1"/>
  <c r="E194" i="7"/>
  <c r="F194" i="7" s="1"/>
  <c r="C110" i="7"/>
  <c r="C54" i="7"/>
  <c r="C40" i="7"/>
  <c r="G263" i="7"/>
  <c r="C179" i="7"/>
  <c r="G109" i="7"/>
  <c r="G39" i="7"/>
  <c r="E269" i="7"/>
  <c r="F269" i="7" s="1"/>
  <c r="D248" i="7"/>
  <c r="D185" i="7"/>
  <c r="E157" i="7"/>
  <c r="F157" i="7" s="1"/>
  <c r="G143" i="7"/>
  <c r="D108" i="7"/>
  <c r="D87" i="7"/>
  <c r="E66" i="7"/>
  <c r="F66" i="7" s="1"/>
  <c r="E10" i="7"/>
  <c r="F10" i="7" s="1"/>
  <c r="G261" i="7"/>
  <c r="E184" i="7"/>
  <c r="F184" i="7" s="1"/>
  <c r="G156" i="7"/>
  <c r="D107" i="7"/>
  <c r="E86" i="7"/>
  <c r="F86" i="7" s="1"/>
  <c r="G9" i="7"/>
  <c r="G2" i="7"/>
  <c r="C253" i="7"/>
  <c r="D148" i="7"/>
  <c r="G113" i="7"/>
  <c r="C273" i="7"/>
  <c r="D217" i="7"/>
  <c r="E64" i="7"/>
  <c r="F64" i="7" s="1"/>
  <c r="G15" i="7"/>
  <c r="E70" i="7"/>
  <c r="F70" i="7" s="1"/>
  <c r="D195" i="7"/>
  <c r="G181" i="7"/>
  <c r="E167" i="7"/>
  <c r="F167" i="7" s="1"/>
  <c r="G83" i="7"/>
  <c r="E20" i="7"/>
  <c r="F20" i="7" s="1"/>
  <c r="E264" i="7"/>
  <c r="F264" i="7" s="1"/>
  <c r="C194" i="7"/>
  <c r="C47" i="7"/>
  <c r="G19" i="7"/>
  <c r="C102" i="7"/>
  <c r="G25" i="7"/>
  <c r="C171" i="7"/>
  <c r="E143" i="7"/>
  <c r="F143" i="7" s="1"/>
  <c r="G94" i="7"/>
  <c r="G59" i="7"/>
  <c r="D24" i="7"/>
  <c r="E177" i="7"/>
  <c r="F177" i="7" s="1"/>
  <c r="C149" i="7"/>
  <c r="E79" i="7"/>
  <c r="F79" i="7" s="1"/>
  <c r="C51" i="7"/>
  <c r="G246" i="7"/>
  <c r="C98" i="7"/>
  <c r="E174" i="7"/>
  <c r="F174" i="7" s="1"/>
  <c r="G41" i="7"/>
  <c r="G193" i="7"/>
  <c r="D123" i="7"/>
  <c r="C66" i="7"/>
  <c r="E17" i="7"/>
  <c r="F17" i="7" s="1"/>
  <c r="E170" i="7"/>
  <c r="F170" i="7" s="1"/>
  <c r="E246" i="7"/>
  <c r="F246" i="7" s="1"/>
  <c r="D64" i="7"/>
  <c r="E15" i="7"/>
  <c r="F15" i="7" s="1"/>
  <c r="C175" i="7"/>
  <c r="D70" i="7"/>
  <c r="G272" i="7"/>
  <c r="E237" i="7"/>
  <c r="F237" i="7" s="1"/>
  <c r="C195" i="7"/>
  <c r="D167" i="7"/>
  <c r="D83" i="7"/>
  <c r="D20" i="7"/>
  <c r="D264" i="7"/>
  <c r="D173" i="7"/>
  <c r="E19" i="7"/>
  <c r="F19" i="7" s="1"/>
  <c r="E263" i="7"/>
  <c r="F263" i="7" s="1"/>
  <c r="C214" i="7"/>
  <c r="G186" i="7"/>
  <c r="E25" i="7"/>
  <c r="F25" i="7" s="1"/>
  <c r="D269" i="7"/>
  <c r="D143" i="7"/>
  <c r="G115" i="7"/>
  <c r="E94" i="7"/>
  <c r="F94" i="7" s="1"/>
  <c r="E59" i="7"/>
  <c r="F59" i="7" s="1"/>
  <c r="G268" i="7"/>
  <c r="G121" i="7"/>
  <c r="D79" i="7"/>
  <c r="G161" i="7"/>
  <c r="G265" i="7"/>
  <c r="C111" i="7"/>
  <c r="D257" i="7"/>
  <c r="E12" i="7"/>
  <c r="F12" i="7" s="1"/>
  <c r="G179" i="7"/>
  <c r="E95" i="7"/>
  <c r="F95" i="7" s="1"/>
  <c r="G18" i="7"/>
  <c r="D115" i="7"/>
  <c r="D121" i="7"/>
  <c r="D71" i="7"/>
  <c r="G197" i="7"/>
  <c r="E120" i="7"/>
  <c r="F120" i="7" s="1"/>
  <c r="G78" i="7"/>
  <c r="C64" i="7"/>
  <c r="D15" i="7"/>
  <c r="C196" i="7"/>
  <c r="E98" i="7"/>
  <c r="F98" i="7" s="1"/>
  <c r="C70" i="7"/>
  <c r="D237" i="7"/>
  <c r="G174" i="7"/>
  <c r="D111" i="7"/>
  <c r="C20" i="7"/>
  <c r="C173" i="7"/>
  <c r="G103" i="7"/>
  <c r="C61" i="7"/>
  <c r="D165" i="7"/>
  <c r="E123" i="7"/>
  <c r="F123" i="7" s="1"/>
  <c r="G95" i="7"/>
  <c r="C269" i="7"/>
  <c r="D157" i="7"/>
  <c r="C143" i="7"/>
  <c r="E115" i="7"/>
  <c r="F115" i="7" s="1"/>
  <c r="D94" i="7"/>
  <c r="D66" i="7"/>
  <c r="D59" i="7"/>
  <c r="G17" i="7"/>
  <c r="E268" i="7"/>
  <c r="F268" i="7" s="1"/>
  <c r="G170" i="7"/>
  <c r="E121" i="7"/>
  <c r="F121" i="7" s="1"/>
  <c r="C79" i="7"/>
  <c r="C15" i="7"/>
  <c r="E103" i="7"/>
  <c r="F103" i="7" s="1"/>
  <c r="G256" i="7"/>
  <c r="C165" i="7"/>
  <c r="C157" i="7"/>
  <c r="C59" i="7"/>
  <c r="D268" i="7"/>
  <c r="G43" i="7"/>
  <c r="C107" i="7"/>
  <c r="G24" i="7"/>
  <c r="E150" i="7"/>
  <c r="F150" i="7" s="1"/>
  <c r="C158" i="7"/>
  <c r="C26" i="7"/>
  <c r="C180" i="7"/>
  <c r="C48" i="7"/>
  <c r="E112" i="7"/>
  <c r="F112" i="7" s="1"/>
  <c r="D53" i="7"/>
  <c r="D26" i="7"/>
  <c r="G48" i="7"/>
  <c r="E58" i="7"/>
  <c r="F58" i="7" s="1"/>
  <c r="C142" i="7"/>
  <c r="C101" i="7"/>
  <c r="E53" i="7"/>
  <c r="F53" i="7" s="1"/>
  <c r="G270" i="7"/>
  <c r="E180" i="7"/>
  <c r="F180" i="7" s="1"/>
  <c r="C250" i="7"/>
  <c r="C119" i="7"/>
  <c r="E114" i="7"/>
  <c r="F114" i="7" s="1"/>
  <c r="E212" i="7"/>
  <c r="F212" i="7" s="1"/>
  <c r="D101" i="7"/>
  <c r="G53" i="7"/>
  <c r="D193" i="7"/>
  <c r="E258" i="7"/>
  <c r="F258" i="7" s="1"/>
  <c r="C23" i="7"/>
  <c r="C38" i="7"/>
  <c r="E172" i="7"/>
  <c r="F172" i="7" s="1"/>
  <c r="C5" i="7"/>
  <c r="G117" i="7"/>
  <c r="D188" i="7"/>
  <c r="E119" i="7"/>
  <c r="F119" i="7" s="1"/>
  <c r="D36" i="7"/>
  <c r="D23" i="7"/>
  <c r="C184" i="7"/>
  <c r="C10" i="7"/>
  <c r="G101" i="7"/>
  <c r="D4" i="7"/>
  <c r="G137" i="7"/>
  <c r="G172" i="7"/>
  <c r="G69" i="7"/>
  <c r="E188" i="7"/>
  <c r="F188" i="7" s="1"/>
  <c r="G84" i="7"/>
  <c r="D259" i="7"/>
  <c r="C134" i="7"/>
  <c r="D86" i="7"/>
  <c r="D149" i="7"/>
  <c r="D184" i="7"/>
  <c r="C254" i="7"/>
  <c r="C80" i="7"/>
  <c r="E4" i="7"/>
  <c r="F4" i="7" s="1"/>
  <c r="D249" i="7"/>
  <c r="G40" i="7"/>
  <c r="C124" i="7"/>
  <c r="D271" i="7"/>
  <c r="C224" i="7"/>
  <c r="D134" i="7"/>
  <c r="E149" i="7"/>
  <c r="F149" i="7" s="1"/>
  <c r="D80" i="7"/>
  <c r="G4" i="7"/>
  <c r="E109" i="7"/>
  <c r="F109" i="7" s="1"/>
  <c r="G5" i="7"/>
  <c r="E125" i="7"/>
  <c r="F125" i="7" s="1"/>
  <c r="C7" i="7"/>
  <c r="C91" i="7"/>
  <c r="E182" i="7"/>
  <c r="F182" i="7" s="1"/>
  <c r="C99" i="7"/>
  <c r="D204" i="7"/>
  <c r="C37" i="7"/>
  <c r="C65" i="7"/>
  <c r="E93" i="7"/>
  <c r="F93" i="7" s="1"/>
  <c r="E254" i="7"/>
  <c r="F254" i="7" s="1"/>
  <c r="C17" i="7"/>
  <c r="E80" i="7"/>
  <c r="F80" i="7" s="1"/>
  <c r="C115" i="7"/>
  <c r="D164" i="7"/>
  <c r="E178" i="7"/>
  <c r="F178" i="7" s="1"/>
  <c r="C248" i="7"/>
  <c r="E39" i="7"/>
  <c r="F39" i="7" s="1"/>
  <c r="C81" i="7"/>
  <c r="D144" i="7"/>
  <c r="G249" i="7"/>
  <c r="E124" i="7"/>
  <c r="F124" i="7" s="1"/>
  <c r="G125" i="7"/>
  <c r="D7" i="7"/>
  <c r="D91" i="7"/>
  <c r="G182" i="7"/>
  <c r="D99" i="7"/>
  <c r="E204" i="7"/>
  <c r="F204" i="7" s="1"/>
  <c r="C53" i="7"/>
  <c r="G97" i="7"/>
  <c r="C21" i="7"/>
  <c r="G57" i="7"/>
  <c r="D58" i="7"/>
  <c r="G52" i="7"/>
  <c r="G158" i="7"/>
  <c r="D103" i="7"/>
  <c r="C258" i="7"/>
  <c r="D212" i="7"/>
  <c r="C95" i="7"/>
  <c r="G20" i="7"/>
  <c r="E28" i="7"/>
  <c r="F28" i="7" s="1"/>
  <c r="C71" i="7"/>
  <c r="G58" i="7"/>
  <c r="G142" i="7"/>
  <c r="D95" i="7"/>
  <c r="C55" i="7"/>
  <c r="C188" i="7"/>
  <c r="D119" i="7"/>
  <c r="G114" i="7"/>
  <c r="E101" i="7"/>
  <c r="F101" i="7" s="1"/>
  <c r="E137" i="7"/>
  <c r="F137" i="7" s="1"/>
  <c r="E161" i="7"/>
  <c r="F161" i="7" s="1"/>
  <c r="C259" i="7"/>
  <c r="C183" i="7"/>
  <c r="C86" i="7"/>
  <c r="G38" i="7"/>
  <c r="G102" i="7"/>
  <c r="D5" i="7"/>
  <c r="D27" i="7"/>
  <c r="G167" i="7"/>
  <c r="C42" i="7"/>
  <c r="G119" i="7"/>
  <c r="E36" i="7"/>
  <c r="F36" i="7" s="1"/>
  <c r="G51" i="7"/>
  <c r="C121" i="7"/>
  <c r="D10" i="7"/>
  <c r="C178" i="7"/>
  <c r="C39" i="7"/>
  <c r="E5" i="7"/>
  <c r="C82" i="7"/>
  <c r="C230" i="7"/>
  <c r="D254" i="7"/>
  <c r="D178" i="7"/>
  <c r="D39" i="7"/>
  <c r="C144" i="7"/>
  <c r="E249" i="7"/>
  <c r="F249" i="7" s="1"/>
  <c r="D124" i="7"/>
  <c r="G271" i="7"/>
  <c r="D224" i="7"/>
  <c r="E134" i="7"/>
  <c r="F134" i="7" s="1"/>
  <c r="D37" i="7"/>
  <c r="D65" i="7"/>
  <c r="G93" i="7"/>
  <c r="C156" i="7"/>
  <c r="G254" i="7"/>
  <c r="D17" i="7"/>
  <c r="G80" i="7"/>
  <c r="E164" i="7"/>
  <c r="F164" i="7" s="1"/>
  <c r="G178" i="7"/>
  <c r="E11" i="7"/>
  <c r="F11" i="7" s="1"/>
  <c r="D81" i="7"/>
  <c r="D116" i="7"/>
  <c r="D12" i="7"/>
  <c r="D47" i="7"/>
  <c r="C96" i="7"/>
  <c r="G124" i="7"/>
  <c r="C159" i="7"/>
  <c r="C6" i="7"/>
  <c r="E41" i="7"/>
  <c r="F41" i="7" s="1"/>
  <c r="D49" i="7"/>
  <c r="E99" i="7"/>
  <c r="F99" i="7" s="1"/>
  <c r="G204" i="7"/>
  <c r="D16" i="7"/>
  <c r="E52" i="7"/>
  <c r="F52" i="7" s="1"/>
  <c r="C18" i="7"/>
  <c r="C123" i="7"/>
  <c r="G195" i="7"/>
  <c r="G56" i="7"/>
  <c r="E168" i="7"/>
  <c r="F168" i="7" s="1"/>
  <c r="E16" i="7"/>
  <c r="F16" i="7" s="1"/>
  <c r="D170" i="7"/>
  <c r="G150" i="7"/>
  <c r="G54" i="7"/>
  <c r="D180" i="7"/>
  <c r="C22" i="7"/>
  <c r="G16" i="7"/>
  <c r="D114" i="7"/>
  <c r="C3" i="7"/>
  <c r="D258" i="7"/>
  <c r="G79" i="7"/>
  <c r="G177" i="7"/>
  <c r="D3" i="7"/>
  <c r="D32" i="7"/>
  <c r="D172" i="7"/>
  <c r="D161" i="7"/>
  <c r="G212" i="7"/>
  <c r="D171" i="7"/>
  <c r="E32" i="7"/>
  <c r="F32" i="7" s="1"/>
  <c r="E193" i="7"/>
  <c r="F193" i="7" s="1"/>
  <c r="C27" i="7"/>
  <c r="E84" i="7"/>
  <c r="F84" i="7" s="1"/>
  <c r="D2" i="7"/>
  <c r="E9" i="7"/>
  <c r="F9" i="7" s="1"/>
  <c r="E37" i="7"/>
  <c r="F37" i="7" s="1"/>
  <c r="E65" i="7"/>
  <c r="F65" i="7" s="1"/>
  <c r="D156" i="7"/>
  <c r="C52" i="7"/>
  <c r="C122" i="7"/>
  <c r="G164" i="7"/>
  <c r="C255" i="7"/>
  <c r="G11" i="7"/>
  <c r="E81" i="7"/>
  <c r="F81" i="7" s="1"/>
  <c r="E116" i="7"/>
  <c r="F116" i="7" s="1"/>
  <c r="D256" i="7"/>
  <c r="E47" i="7"/>
  <c r="F47" i="7" s="1"/>
  <c r="D96" i="7"/>
  <c r="D194" i="7"/>
  <c r="D6" i="7"/>
  <c r="C90" i="7"/>
  <c r="G14" i="7"/>
  <c r="G147" i="7"/>
  <c r="G189" i="7"/>
  <c r="D57" i="7"/>
  <c r="G99" i="7"/>
  <c r="D192" i="7"/>
  <c r="E255" i="7"/>
  <c r="F255" i="7" s="1"/>
  <c r="D18" i="7"/>
  <c r="G32" i="7"/>
  <c r="E67" i="7"/>
  <c r="F67" i="7" s="1"/>
  <c r="D102" i="7"/>
  <c r="G116" i="7"/>
  <c r="C137" i="7"/>
  <c r="E165" i="7"/>
  <c r="F165" i="7" s="1"/>
  <c r="D186" i="7"/>
  <c r="D270" i="7"/>
  <c r="G12" i="7"/>
  <c r="E61" i="7"/>
  <c r="F61" i="7" s="1"/>
  <c r="D82" i="7"/>
  <c r="G96" i="7"/>
  <c r="C117" i="7"/>
  <c r="D159" i="7"/>
  <c r="G180" i="7"/>
  <c r="D250" i="7"/>
  <c r="G264" i="7"/>
  <c r="C13" i="7"/>
  <c r="E27" i="7"/>
  <c r="F27" i="7" s="1"/>
  <c r="D55" i="7"/>
  <c r="C97" i="7"/>
  <c r="E111" i="7"/>
  <c r="F111" i="7" s="1"/>
  <c r="D146" i="7"/>
  <c r="C181" i="7"/>
  <c r="D230" i="7"/>
  <c r="C265" i="7"/>
  <c r="E7" i="7"/>
  <c r="D42" i="7"/>
  <c r="G49" i="7"/>
  <c r="C77" i="7"/>
  <c r="E91" i="7"/>
  <c r="F91" i="7" s="1"/>
  <c r="D126" i="7"/>
  <c r="E175" i="7"/>
  <c r="F175" i="7" s="1"/>
  <c r="D196" i="7"/>
  <c r="G224" i="7"/>
  <c r="E259" i="7"/>
  <c r="F259" i="7" s="1"/>
  <c r="D22" i="7"/>
  <c r="G36" i="7"/>
  <c r="C50" i="7"/>
  <c r="E71" i="7"/>
  <c r="F71" i="7" s="1"/>
  <c r="G120" i="7"/>
  <c r="G162" i="7"/>
  <c r="C190" i="7"/>
  <c r="E211" i="7"/>
  <c r="F211" i="7" s="1"/>
  <c r="G253" i="7"/>
  <c r="C274" i="7"/>
  <c r="G255" i="7"/>
  <c r="C4" i="7"/>
  <c r="E18" i="7"/>
  <c r="F18" i="7" s="1"/>
  <c r="G67" i="7"/>
  <c r="C88" i="7"/>
  <c r="E102" i="7"/>
  <c r="F102" i="7" s="1"/>
  <c r="D137" i="7"/>
  <c r="G165" i="7"/>
  <c r="C172" i="7"/>
  <c r="E186" i="7"/>
  <c r="F186" i="7" s="1"/>
  <c r="C256" i="7"/>
  <c r="E270" i="7"/>
  <c r="F270" i="7" s="1"/>
  <c r="G61" i="7"/>
  <c r="C68" i="7"/>
  <c r="E82" i="7"/>
  <c r="F82" i="7" s="1"/>
  <c r="D117" i="7"/>
  <c r="C166" i="7"/>
  <c r="E159" i="7"/>
  <c r="F159" i="7" s="1"/>
  <c r="E250" i="7"/>
  <c r="F250" i="7" s="1"/>
  <c r="D13" i="7"/>
  <c r="G27" i="7"/>
  <c r="E55" i="7"/>
  <c r="F55" i="7" s="1"/>
  <c r="D97" i="7"/>
  <c r="G111" i="7"/>
  <c r="E146" i="7"/>
  <c r="F146" i="7" s="1"/>
  <c r="D181" i="7"/>
  <c r="C216" i="7"/>
  <c r="E230" i="7"/>
  <c r="F230" i="7" s="1"/>
  <c r="D265" i="7"/>
  <c r="G7" i="7"/>
  <c r="C28" i="7"/>
  <c r="E42" i="7"/>
  <c r="F42" i="7" s="1"/>
  <c r="D77" i="7"/>
  <c r="G91" i="7"/>
  <c r="C112" i="7"/>
  <c r="E126" i="7"/>
  <c r="F126" i="7" s="1"/>
  <c r="G175" i="7"/>
  <c r="E196" i="7"/>
  <c r="F196" i="7" s="1"/>
  <c r="G259" i="7"/>
  <c r="C8" i="7"/>
  <c r="E22" i="7"/>
  <c r="F22" i="7" s="1"/>
  <c r="D50" i="7"/>
  <c r="G71" i="7"/>
  <c r="C92" i="7"/>
  <c r="D190" i="7"/>
  <c r="G211" i="7"/>
  <c r="D274" i="7"/>
  <c r="D68" i="7"/>
  <c r="G82" i="7"/>
  <c r="C103" i="7"/>
  <c r="E117" i="7"/>
  <c r="F117" i="7" s="1"/>
  <c r="D166" i="7"/>
  <c r="G159" i="7"/>
  <c r="G250" i="7"/>
  <c r="C271" i="7"/>
  <c r="E13" i="7"/>
  <c r="F13" i="7" s="1"/>
  <c r="G55" i="7"/>
  <c r="C83" i="7"/>
  <c r="E97" i="7"/>
  <c r="F97" i="7" s="1"/>
  <c r="G146" i="7"/>
  <c r="C160" i="7"/>
  <c r="E181" i="7"/>
  <c r="F181" i="7" s="1"/>
  <c r="D216" i="7"/>
  <c r="G230" i="7"/>
  <c r="E265" i="7"/>
  <c r="F265" i="7" s="1"/>
  <c r="D28" i="7"/>
  <c r="G42" i="7"/>
  <c r="C56" i="7"/>
  <c r="E77" i="7"/>
  <c r="F77" i="7" s="1"/>
  <c r="D112" i="7"/>
  <c r="G126" i="7"/>
  <c r="C147" i="7"/>
  <c r="G196" i="7"/>
  <c r="D8" i="7"/>
  <c r="G22" i="7"/>
  <c r="C43" i="7"/>
  <c r="E50" i="7"/>
  <c r="F50" i="7" s="1"/>
  <c r="D92" i="7"/>
  <c r="C127" i="7"/>
  <c r="C176" i="7"/>
  <c r="E190" i="7"/>
  <c r="F190" i="7" s="1"/>
  <c r="C260" i="7"/>
  <c r="E274" i="7"/>
  <c r="F274" i="7" s="1"/>
  <c r="D147" i="7"/>
  <c r="C182" i="7"/>
  <c r="C266" i="7"/>
  <c r="E8" i="7"/>
  <c r="D43" i="7"/>
  <c r="G50" i="7"/>
  <c r="C78" i="7"/>
  <c r="E92" i="7"/>
  <c r="F92" i="7" s="1"/>
  <c r="D127" i="7"/>
  <c r="D176" i="7"/>
  <c r="G190" i="7"/>
  <c r="C197" i="7"/>
  <c r="D260" i="7"/>
  <c r="G274" i="7"/>
  <c r="C257" i="7"/>
  <c r="E271" i="7"/>
  <c r="F271" i="7" s="1"/>
  <c r="C69" i="7"/>
  <c r="E83" i="7"/>
  <c r="F83" i="7" s="1"/>
  <c r="D118" i="7"/>
  <c r="C167" i="7"/>
  <c r="E160" i="7"/>
  <c r="F160" i="7" s="1"/>
  <c r="G216" i="7"/>
  <c r="C237" i="7"/>
  <c r="D14" i="7"/>
  <c r="G28" i="7"/>
  <c r="E56" i="7"/>
  <c r="F56" i="7" s="1"/>
  <c r="D98" i="7"/>
  <c r="G112" i="7"/>
  <c r="E147" i="7"/>
  <c r="F147" i="7" s="1"/>
  <c r="D182" i="7"/>
  <c r="C217" i="7"/>
  <c r="G8" i="7"/>
  <c r="C29" i="7"/>
  <c r="E43" i="7"/>
  <c r="F43" i="7" s="1"/>
  <c r="D78" i="7"/>
  <c r="G92" i="7"/>
  <c r="C113" i="7"/>
  <c r="E127" i="7"/>
  <c r="F127" i="7" s="1"/>
  <c r="E176" i="7"/>
  <c r="F176" i="7" s="1"/>
  <c r="D197" i="7"/>
  <c r="C246" i="7"/>
  <c r="E260" i="7"/>
  <c r="F260" i="7" s="1"/>
  <c r="E78" i="7"/>
  <c r="F78" i="7" s="1"/>
  <c r="D113" i="7"/>
  <c r="G127" i="7"/>
  <c r="C148" i="7"/>
  <c r="G176" i="7"/>
  <c r="C204" i="7"/>
  <c r="E197" i="7"/>
  <c r="F197" i="7" s="1"/>
  <c r="D246" i="7"/>
  <c r="G260" i="7"/>
  <c r="E162" i="7"/>
  <c r="F162" i="7" s="1"/>
  <c r="G183" i="7"/>
  <c r="C211" i="7"/>
  <c r="D253" i="7"/>
  <c r="D8" i="2"/>
  <c r="A4" i="1"/>
  <c r="D13" i="2"/>
  <c r="D3" i="2"/>
  <c r="C213" i="7" l="1"/>
  <c r="E266" i="7"/>
  <c r="F266" i="7" s="1"/>
  <c r="D213" i="7"/>
  <c r="G266" i="7"/>
  <c r="G213" i="7"/>
  <c r="C199" i="7"/>
  <c r="G267" i="7"/>
  <c r="E214" i="7"/>
  <c r="F214" i="7" s="1"/>
  <c r="G199" i="7"/>
  <c r="C215" i="7"/>
  <c r="D214" i="7"/>
  <c r="C267" i="7"/>
  <c r="D262" i="7"/>
  <c r="D247" i="7"/>
  <c r="E200" i="7"/>
  <c r="F200" i="7" s="1"/>
  <c r="D215" i="7"/>
  <c r="E215" i="7"/>
  <c r="F215" i="7" s="1"/>
  <c r="G200" i="7"/>
  <c r="D200" i="7"/>
  <c r="D199" i="7"/>
  <c r="C191" i="7"/>
  <c r="D228" i="7"/>
  <c r="E191" i="7"/>
  <c r="F191" i="7" s="1"/>
  <c r="D132" i="7"/>
  <c r="E247" i="7"/>
  <c r="F247" i="7" s="1"/>
  <c r="G218" i="7"/>
  <c r="G191" i="7"/>
  <c r="C153" i="7"/>
  <c r="D133" i="7"/>
  <c r="G231" i="7"/>
  <c r="E231" i="7"/>
  <c r="F231" i="7" s="1"/>
  <c r="C247" i="7"/>
  <c r="D202" i="7"/>
  <c r="G132" i="7"/>
  <c r="G201" i="7"/>
  <c r="D198" i="7"/>
  <c r="E201" i="7"/>
  <c r="F201" i="7" s="1"/>
  <c r="G232" i="7"/>
  <c r="C201" i="7"/>
  <c r="C232" i="7"/>
  <c r="D231" i="7"/>
  <c r="G202" i="7"/>
  <c r="G198" i="7"/>
  <c r="D225" i="7"/>
  <c r="C203" i="7"/>
  <c r="C225" i="7"/>
  <c r="D232" i="7"/>
  <c r="C133" i="7"/>
  <c r="E133" i="7"/>
  <c r="F133" i="7" s="1"/>
  <c r="C205" i="7"/>
  <c r="D140" i="7"/>
  <c r="G128" i="7"/>
  <c r="C198" i="7"/>
  <c r="D205" i="7"/>
  <c r="G227" i="7"/>
  <c r="C228" i="7"/>
  <c r="G226" i="7"/>
  <c r="E225" i="7"/>
  <c r="F225" i="7" s="1"/>
  <c r="D238" i="7"/>
  <c r="C226" i="7"/>
  <c r="C227" i="7"/>
  <c r="G243" i="7"/>
  <c r="E227" i="7"/>
  <c r="F227" i="7" s="1"/>
  <c r="D226" i="7"/>
  <c r="D129" i="7"/>
  <c r="D219" i="7"/>
  <c r="E219" i="7"/>
  <c r="F219" i="7" s="1"/>
  <c r="G252" i="7"/>
  <c r="E130" i="7"/>
  <c r="F130" i="7" s="1"/>
  <c r="C229" i="7"/>
  <c r="G221" i="7"/>
  <c r="D218" i="7"/>
  <c r="C239" i="7"/>
  <c r="G130" i="7"/>
  <c r="G131" i="7"/>
  <c r="D223" i="7"/>
  <c r="C223" i="7"/>
  <c r="C129" i="7"/>
  <c r="E252" i="7"/>
  <c r="F252" i="7" s="1"/>
  <c r="E129" i="7"/>
  <c r="F129" i="7" s="1"/>
  <c r="G236" i="7"/>
  <c r="E131" i="7"/>
  <c r="F131" i="7" s="1"/>
  <c r="D252" i="7"/>
  <c r="D138" i="7"/>
  <c r="E138" i="7"/>
  <c r="F138" i="7" s="1"/>
  <c r="D229" i="7"/>
  <c r="C130" i="7"/>
  <c r="C138" i="7"/>
  <c r="E187" i="7"/>
  <c r="F187" i="7" s="1"/>
  <c r="E223" i="7"/>
  <c r="F223" i="7" s="1"/>
  <c r="G229" i="7"/>
  <c r="E233" i="7"/>
  <c r="F233" i="7" s="1"/>
  <c r="D239" i="7"/>
  <c r="D234" i="7"/>
  <c r="C218" i="7"/>
  <c r="D131" i="7"/>
  <c r="G228" i="7"/>
  <c r="D244" i="7"/>
  <c r="D233" i="7"/>
  <c r="C243" i="7"/>
  <c r="G239" i="7"/>
  <c r="D128" i="7"/>
  <c r="E128" i="7"/>
  <c r="F128" i="7" s="1"/>
  <c r="C132" i="7"/>
  <c r="G233" i="7"/>
  <c r="E251" i="7"/>
  <c r="F251" i="7" s="1"/>
  <c r="E202" i="7"/>
  <c r="F202" i="7" s="1"/>
  <c r="C238" i="7"/>
  <c r="E234" i="7"/>
  <c r="F234" i="7" s="1"/>
  <c r="G245" i="7"/>
  <c r="C219" i="7"/>
  <c r="C240" i="7"/>
  <c r="D76" i="7"/>
  <c r="D209" i="7"/>
  <c r="G209" i="7"/>
  <c r="E244" i="7"/>
  <c r="F244" i="7" s="1"/>
  <c r="G244" i="7"/>
  <c r="C209" i="7"/>
  <c r="E245" i="7"/>
  <c r="F245" i="7" s="1"/>
  <c r="C245" i="7"/>
  <c r="E238" i="7"/>
  <c r="F238" i="7" s="1"/>
  <c r="G205" i="7"/>
  <c r="G235" i="7"/>
  <c r="G187" i="7"/>
  <c r="G222" i="7"/>
  <c r="E222" i="7"/>
  <c r="F222" i="7" s="1"/>
  <c r="G234" i="7"/>
  <c r="E242" i="7"/>
  <c r="F242" i="7" s="1"/>
  <c r="C241" i="7"/>
  <c r="G207" i="7"/>
  <c r="G203" i="7"/>
  <c r="E203" i="7"/>
  <c r="F203" i="7" s="1"/>
  <c r="G241" i="7"/>
  <c r="E241" i="7"/>
  <c r="F241" i="7" s="1"/>
  <c r="C236" i="7"/>
  <c r="D251" i="7"/>
  <c r="C207" i="7"/>
  <c r="D242" i="7"/>
  <c r="D207" i="7"/>
  <c r="D236" i="7"/>
  <c r="E153" i="7"/>
  <c r="F153" i="7" s="1"/>
  <c r="C242" i="7"/>
  <c r="E235" i="7"/>
  <c r="F235" i="7" s="1"/>
  <c r="E145" i="7"/>
  <c r="F145" i="7" s="1"/>
  <c r="D235" i="7"/>
  <c r="G251" i="7"/>
  <c r="D106" i="7"/>
  <c r="D222" i="7"/>
  <c r="D220" i="7"/>
  <c r="E240" i="7"/>
  <c r="F240" i="7" s="1"/>
  <c r="G240" i="7"/>
  <c r="E76" i="7"/>
  <c r="F76" i="7" s="1"/>
  <c r="C220" i="7"/>
  <c r="G220" i="7"/>
  <c r="D243" i="7"/>
  <c r="C145" i="7"/>
  <c r="C221" i="7"/>
  <c r="E221" i="7"/>
  <c r="F221" i="7" s="1"/>
  <c r="D210" i="7"/>
  <c r="G106" i="7"/>
  <c r="E141" i="7"/>
  <c r="F141" i="7" s="1"/>
  <c r="G145" i="7"/>
  <c r="E206" i="7"/>
  <c r="F206" i="7" s="1"/>
  <c r="G141" i="7"/>
  <c r="C206" i="7"/>
  <c r="D206" i="7"/>
  <c r="G208" i="7"/>
  <c r="G135" i="7"/>
  <c r="E208" i="7"/>
  <c r="F208" i="7" s="1"/>
  <c r="D141" i="7"/>
  <c r="G140" i="7"/>
  <c r="G152" i="7"/>
  <c r="E151" i="7"/>
  <c r="F151" i="7" s="1"/>
  <c r="E100" i="7"/>
  <c r="F100" i="7" s="1"/>
  <c r="G100" i="7"/>
  <c r="E210" i="7"/>
  <c r="F210" i="7" s="1"/>
  <c r="D208" i="7"/>
  <c r="G210" i="7"/>
  <c r="C151" i="7"/>
  <c r="G151" i="7"/>
  <c r="G139" i="7"/>
  <c r="E106" i="7"/>
  <c r="F106" i="7" s="1"/>
  <c r="E152" i="7"/>
  <c r="F152" i="7" s="1"/>
  <c r="C104" i="7"/>
  <c r="C100" i="7"/>
  <c r="D187" i="7"/>
  <c r="D105" i="7"/>
  <c r="E154" i="7"/>
  <c r="F154" i="7" s="1"/>
  <c r="D154" i="7"/>
  <c r="G155" i="7"/>
  <c r="D155" i="7"/>
  <c r="E105" i="7"/>
  <c r="F105" i="7" s="1"/>
  <c r="D153" i="7"/>
  <c r="E155" i="7"/>
  <c r="F155" i="7" s="1"/>
  <c r="C154" i="7"/>
  <c r="G104" i="7"/>
  <c r="C152" i="7"/>
  <c r="D104" i="7"/>
  <c r="C136" i="7"/>
  <c r="D139" i="7"/>
  <c r="G136" i="7"/>
  <c r="C140" i="7"/>
  <c r="C139" i="7"/>
  <c r="C135" i="7"/>
  <c r="C105" i="7"/>
  <c r="G76" i="7"/>
  <c r="E136" i="7"/>
  <c r="F136" i="7" s="1"/>
  <c r="D135" i="7"/>
  <c r="C44" i="7"/>
  <c r="E73" i="7"/>
  <c r="F73" i="7" s="1"/>
  <c r="G73" i="7"/>
  <c r="D73" i="7"/>
  <c r="E72" i="7"/>
  <c r="F72" i="7" s="1"/>
  <c r="C72" i="7"/>
  <c r="D72" i="7"/>
  <c r="G44" i="7"/>
  <c r="E169" i="7"/>
  <c r="F169" i="7" s="1"/>
  <c r="G74" i="7"/>
  <c r="C75" i="7"/>
  <c r="C74" i="7"/>
  <c r="D74" i="7"/>
  <c r="E46" i="7"/>
  <c r="F46" i="7" s="1"/>
  <c r="C45" i="7"/>
  <c r="D44" i="7"/>
  <c r="C46" i="7"/>
  <c r="C35" i="7"/>
  <c r="G75" i="7"/>
  <c r="D75" i="7"/>
  <c r="G46" i="7"/>
  <c r="D45" i="7"/>
  <c r="E45" i="7"/>
  <c r="F45" i="7" s="1"/>
  <c r="D34" i="7"/>
  <c r="C34" i="7"/>
  <c r="G34" i="7"/>
  <c r="E60" i="7"/>
  <c r="F60" i="7" s="1"/>
  <c r="E163" i="7"/>
  <c r="F163" i="7" s="1"/>
  <c r="C163" i="7"/>
  <c r="G35" i="7"/>
  <c r="D169" i="7"/>
  <c r="C30" i="7"/>
  <c r="E35" i="7"/>
  <c r="F35" i="7" s="1"/>
  <c r="G163" i="7"/>
  <c r="D30" i="7"/>
  <c r="C33" i="7"/>
  <c r="D31" i="7"/>
  <c r="C62" i="7"/>
  <c r="G30" i="7"/>
  <c r="C31" i="7"/>
  <c r="D33" i="7"/>
  <c r="E33" i="7"/>
  <c r="F33" i="7" s="1"/>
  <c r="D60" i="7"/>
  <c r="G31" i="7"/>
  <c r="G169" i="7"/>
  <c r="E62" i="7"/>
  <c r="F62" i="7" s="1"/>
  <c r="C63" i="7"/>
  <c r="D62" i="7"/>
  <c r="G63" i="7"/>
  <c r="C60" i="7"/>
  <c r="D63" i="7"/>
  <c r="A5" i="1"/>
  <c r="D10" i="2" s="1"/>
  <c r="D19" i="2"/>
  <c r="D9" i="2"/>
  <c r="D4" i="2"/>
  <c r="D24" i="2"/>
  <c r="D14" i="2"/>
  <c r="F5" i="7" l="1"/>
  <c r="D20" i="2"/>
  <c r="D15" i="2"/>
  <c r="D5" i="2"/>
  <c r="A6" i="1"/>
  <c r="D25" i="2"/>
  <c r="F6" i="7" l="1"/>
  <c r="A7" i="1"/>
  <c r="A8" i="1" s="1"/>
  <c r="D26" i="2"/>
  <c r="D16" i="2"/>
  <c r="D11" i="2"/>
  <c r="D21" i="2"/>
  <c r="D6" i="2"/>
  <c r="F7" i="7" l="1"/>
  <c r="F8" i="7" l="1"/>
  <c r="C2" i="7" l="1"/>
</calcChain>
</file>

<file path=xl/sharedStrings.xml><?xml version="1.0" encoding="utf-8"?>
<sst xmlns="http://schemas.openxmlformats.org/spreadsheetml/2006/main" count="2468" uniqueCount="215">
  <si>
    <t>Nome</t>
  </si>
  <si>
    <t>Avenida Embauba, Nº 42 - Jardim Bonança, Bragança Paulista - SP, 12929-899</t>
  </si>
  <si>
    <t>Av. Dep. Virgílio de Carvalho Pinto, 601 - Cidade Planejada I, Bragança Paulista - SP, 12922-160</t>
  </si>
  <si>
    <t>Av. José Gomes da Rocha Leal, 1151 - Centro, Bragança Paulista - SP, 12900-300</t>
  </si>
  <si>
    <t>ID Mercado</t>
  </si>
  <si>
    <t>Produto</t>
  </si>
  <si>
    <t>Mercado</t>
  </si>
  <si>
    <t>Preço</t>
  </si>
  <si>
    <t>Marca</t>
  </si>
  <si>
    <t>Pão de Forma</t>
  </si>
  <si>
    <t>Seven Boys</t>
  </si>
  <si>
    <t>Endereço Cliente</t>
  </si>
  <si>
    <t>Descrição Extra Produto</t>
  </si>
  <si>
    <t>Café</t>
  </si>
  <si>
    <t>Pilão</t>
  </si>
  <si>
    <t>Leite</t>
  </si>
  <si>
    <t>Shefa</t>
  </si>
  <si>
    <t>Batata</t>
  </si>
  <si>
    <t>Monalisa</t>
  </si>
  <si>
    <t>Peso (g)</t>
  </si>
  <si>
    <t>Arroz</t>
  </si>
  <si>
    <t>Bonachão</t>
  </si>
  <si>
    <t>Rua da Tecnologia - 536 - CEP 12926677</t>
  </si>
  <si>
    <t>Peso Distancia (1 a 5)</t>
  </si>
  <si>
    <t>Peso Preço (1 menor a 5 maior)</t>
  </si>
  <si>
    <t>União - Jardim Bonança</t>
  </si>
  <si>
    <t>União - Centro</t>
  </si>
  <si>
    <t>Mendonça - Parque dos Estados</t>
  </si>
  <si>
    <t>Mendonça - Centro</t>
  </si>
  <si>
    <t>Comercial Esperança - Penha</t>
  </si>
  <si>
    <t>Spani Atacadista - Lago</t>
  </si>
  <si>
    <t>Spani Atacadista - Lavapés</t>
  </si>
  <si>
    <t>Av. Dom Pedro I, 1025 - Jardim Nova Braganca, Bragança Paulista - SP, 12914-481</t>
  </si>
  <si>
    <t>R. Monteiro Lobato, 120 - Lavapés, Bragança Paulista - SP, 12903-110</t>
  </si>
  <si>
    <t>Carne</t>
  </si>
  <si>
    <t>Acém</t>
  </si>
  <si>
    <t>Filé Mignon</t>
  </si>
  <si>
    <t>Italac</t>
  </si>
  <si>
    <t>Nestlé Ninho</t>
  </si>
  <si>
    <t>Feijão</t>
  </si>
  <si>
    <t>Kicaldo</t>
  </si>
  <si>
    <t>Namorado</t>
  </si>
  <si>
    <t>Tio João</t>
  </si>
  <si>
    <t>Fleischmann</t>
  </si>
  <si>
    <t>Rosa Branca</t>
  </si>
  <si>
    <t>Batata Asterix selecionada</t>
  </si>
  <si>
    <t>Batata doce</t>
  </si>
  <si>
    <t>Tomate</t>
  </si>
  <si>
    <t>Tomate comum</t>
  </si>
  <si>
    <t>Tomate italiano</t>
  </si>
  <si>
    <t>Café em pó</t>
  </si>
  <si>
    <t>Caboclo</t>
  </si>
  <si>
    <t>3 Corações</t>
  </si>
  <si>
    <t>Banana</t>
  </si>
  <si>
    <t>Açúcar</t>
  </si>
  <si>
    <t>Caravelas</t>
  </si>
  <si>
    <t>União</t>
  </si>
  <si>
    <t>Guarani</t>
  </si>
  <si>
    <t>Óleo Soya</t>
  </si>
  <si>
    <t>Endereço Completo</t>
  </si>
  <si>
    <t>Latitude</t>
  </si>
  <si>
    <t>Longitude</t>
  </si>
  <si>
    <t>País</t>
  </si>
  <si>
    <t>Estado</t>
  </si>
  <si>
    <t>Cidade</t>
  </si>
  <si>
    <t>Bairro</t>
  </si>
  <si>
    <t>Rua</t>
  </si>
  <si>
    <t>Número</t>
  </si>
  <si>
    <t>Grupo Mercado</t>
  </si>
  <si>
    <t>Mendonça</t>
  </si>
  <si>
    <t>Comercial Esperança</t>
  </si>
  <si>
    <t>Spani Atacadista</t>
  </si>
  <si>
    <t>Link Maps</t>
  </si>
  <si>
    <t>https://www.google.com/maps/place/Uni%C3%A3o+Supermercados+Bragan%C3%A7a+15/@-22.9127974,-46.5620651,955m/data=!3m1!1e3!4m10!1m2!2m1!1sAvenida+Embauba,+N%C2%BA+42+-+Jardim+Bonan%C3%A7a,+Bragan%C3%A7a+Paulista+-+SP,+12929-899!3m6!1s0x94cecb732203c803:0x430a338895b87114!8m2!3d-22.9128062!4d-46.5593992!15sCk1BdmVuaWRhIEVtYmF1YmEsIE7CuiA0MiAtIEphcmRpbSBCb25hbsOnYSwgQnJhZ2Fuw6dhIFBhdWxpc3RhIC0gU1AsIDEyOTI5LTg5OVpIIkZhdmVuaWRhIGVtYmF1YmEgbsK6IDQyIGphcmRpbSBib25hbsOnYSBicmFnYW7Dp2EgcGF1bGlzdGEgc3AgMTI5MjkgODk5kgELc3VwZXJtYXJrZXSaAURDaTlEUVVsUlFVTnZaRU5vZEhsalJqbHZUMnBHVG1KNldsTldSWGgzVWtSc1ZVNHhXakpOYmtwVFQwaG5NbU14UlJBQuABAPoBBAgAEEM!16s%2Fg%2F11jgdhsn4h?entry=ttu&amp;g_ep=EgoyMDI2MDQyOS4wIKXMDSoASAFQAw%3D%3D</t>
  </si>
  <si>
    <t>https://www.google.com/maps/place/S+M+Supermercados+Mendon%C3%A7a/@-22.9162371,-46.5542733,131m/data=!3m1!1e3!4m15!1m8!3m7!1s0x94ceca5359d07237:0xa67ce8b83d5c5924!2sAv.+Dep.+Virg%C3%ADlio+de+Carvalho+Pinto,+601+-+Cidade+Planejada+I,+Bragan%C3%A7a+Paulista+-+SP,+12922-160!3b1!8m2!3d-22.9159587!4d-46.5541454!16s%2Fg%2F11dzw7hddv!3m5!1s0x94ceca535c993fd3:0xae6d8aca79a533d9!8m2!3d-22.916002!4d-46.554093!16s%2Fg%2F1tn02cb2?entry=ttu&amp;g_ep=EgoyMDI2MDQyOS4wIKXMDSoASAFQAw%3D%3D</t>
  </si>
  <si>
    <t>https://www.google.com/maps/place/Uni%C3%A3o+Supermercados+Loja+12/@-22.956931,-46.5454349,188m/data=!3m2!1e3!5s0x94cec99074c2886f:0xddfd7615075b6ee6!4m15!1m8!3m7!1s0x94cec9907432ffc9:0xe6ad19cdc779ca46!2sAv.+Jos%C3%A9+Gomes+da+Rocha+Leal,+1151+-+Centro,+Bragan%C3%A7a+Paulista+-+SP,+12900-301!3b1!8m2!3d-22.9569399!4d-46.5449966!16s%2Fg%2F11kqfwjqqh!3m5!1s0x94cec98e4922e61b:0x6d15aa71015795f6!8m2!3d-22.9566842!4d-46.5450148!16s%2Fg%2F11c1r6d0n6?entry=ttu&amp;g_ep=EgoyMDI2MDQyOS4wIKXMDSoASAFQAw%3D%3D</t>
  </si>
  <si>
    <t>Av. dos Imigrantes, 2120 - Centro, Bragança Paulista - SP, 12900-500</t>
  </si>
  <si>
    <t>https://www.google.com/maps/place/SM+Supermercados+Mendon%C3%A7a/@-22.9549011,-46.5467033,60m/data=!3m1!1e3!4m6!3m5!1s0x94cec9b652bfad4b:0xe28494aa969062bf!8m2!3d-22.955059!4d-46.5464874!16s%2Fg%2F11tsjz5j87?entry=ttu&amp;g_ep=EgoyMDI2MDQyOS4wIKXMDSoASAFQAw%3D%3D</t>
  </si>
  <si>
    <t>Alameda Quinze de Dezembro, 100 - Jardim Dr. Julio de Mesquita Filho, Bragança Paulista - SP, 12910-690</t>
  </si>
  <si>
    <t>https://www.google.com/maps/place/Comercial+Esperan%C3%A7a/@-22.949963,-46.5303561,544m/data=!3m1!1e3!4m10!1m2!2m1!1sComercial+Esperan%C3%A7a!3m6!1s0x94cec9f707c9aeb9:0x33b072a118dc6ac1!8m2!3d-22.9489138!4d-46.5282191!15sChRDb21lcmNpYWwgRXNwZXJhbsOnYSIDiAEBWhYiFGNvbWVyY2lhbCBlc3BlcmFuw6dhkgELc3VwZXJtYXJrZXTgAQA!16s%2Fg%2F11gdgxbxh9?entry=ttu&amp;g_ep=EgoyMDI2MDQyOS4wIKXMDSoASAFQAw%3D%3D</t>
  </si>
  <si>
    <t>https://www.google.com/maps/place/Spani+Atacadista+Bragan%C3%A7a+Paulista/@-22.9748667,-46.5334056,464m/data=!3m1!1e3!4m14!1m7!3m6!1s0x94cec9c9a16667c5:0x4a8281cc82bddfb6!2sAv.+Dom+Pedro+I,+1025+-+Jardim+Nova+Braganca,+Bragan%C3%A7a+Paulista+-+SP,+12914-481!3b1!8m2!3d-22.9739196!4d-46.5332996!3m5!1s0x94cec9cbdd37a931:0x614da09215bc8783!8m2!3d-22.974678!4d-46.5300865!16s%2Fg%2F11fy5j9_jd?entry=ttu&amp;g_ep=EgoyMDI2MDQyOS4wIKXMDSoASAFQAw%3D%3D</t>
  </si>
  <si>
    <t>https://www.google.com/maps/place/Spani+Atacadista+Bragan%C3%A7a+Paulista/@-22.9471257,-46.5451426,60m/data=!3m1!1e3!4m6!3m5!1s0x94cec988769f65df:0x740994c95fa8fbb1!8m2!3d-22.9470567!4d-46.5448719!16s%2Fg%2F11cmfggvbx?entry=ttu&amp;g_ep=EgoyMDI2MDQyOS4wIKXMDSoASAFQAw%3D%3D</t>
  </si>
  <si>
    <t>Brasil</t>
  </si>
  <si>
    <t>SP</t>
  </si>
  <si>
    <t>Bragança Paulista</t>
  </si>
  <si>
    <t>Jardim Bonança</t>
  </si>
  <si>
    <t>Avenida Embauba</t>
  </si>
  <si>
    <t>Cidade Planejada I</t>
  </si>
  <si>
    <t>Av. Dep. Virgílio de Carvalho Pinto</t>
  </si>
  <si>
    <t>Centro</t>
  </si>
  <si>
    <t>Av. José Gomes da Rocha Leal</t>
  </si>
  <si>
    <t>Av. dos Imigrantes</t>
  </si>
  <si>
    <t>Jardim Dr. Julio de Mesquita Filho</t>
  </si>
  <si>
    <t>Alameda Quinze de Dezembro</t>
  </si>
  <si>
    <t>Jardim Nova Braganca</t>
  </si>
  <si>
    <t>Av. Dom Pedro I</t>
  </si>
  <si>
    <t>Lavapés</t>
  </si>
  <si>
    <t>R. Monteiro Lobato</t>
  </si>
  <si>
    <t>ID Endereço</t>
  </si>
  <si>
    <t>Av. Dr. Manoel José Vilaça - Jardim America, Bragança Paulista - SP</t>
  </si>
  <si>
    <t>https://www.google.com/maps/place/Av.+Dr.+Manoel+Jos%C3%A9+Vila%C3%A7a+-+Jardim+America,+Bragan%C3%A7a+Paulista+-+SP/@-22.9572979,-46.5490002,239m/data=!3m2!1e3!4b1!4m9!1m2!2m1!1sRua+das+Tipuanas,+Jardim+Am%C3%A9rica,+Bragan%C3%A7a+Paulista+-+SP!3m5!1s0x94cec99b2135ac67:0xc7820a80c637de20!8m2!3d-22.9572991!4d-46.5477825!16s%2Fg%2F11g60rq39q?entry=ttu&amp;g_ep=EgoyMDI2MDQyOS4wIKXMDSoASAFQAw%3D%3D</t>
  </si>
  <si>
    <t>R. Adele Pagetti - Cidade Planejada I, Bragança Paulista - SP, 12922-060</t>
  </si>
  <si>
    <t>https://www.google.com/maps/place/Personalizados+Marquezini/@-22.9174026,-46.5626729,955m/data=!3m2!1e3!4b1!4m15!1m8!3m7!1s0x94ceca533dee78e7:0x30241aa53d2c8dd1!2sAv.+Dep.+Virg%C3%ADlio+de+Carvalho+Pinto+-+Cidade+Nova,+Bragan%C3%A7a+Paulista+-+SP,+12922-754!3b1!8m2!3d-22.9172554!4d-46.5542177!16s%2Fg%2F1ymx8qcsg!3m5!1s0x94cecb00a61ae861:0xd32c83b10b80bbe4!8m2!3d-22.9174076!4d-46.557802!16s%2Fg%2F11x1p3psbq?entry=ttu&amp;g_ep=EgoyMDI2MDQyOS4wIKXMDSoASAFQAw%3D%3D</t>
  </si>
  <si>
    <t>https://www.google.com/maps/place/R.+Ruth+Franco+Rocha,+349+-+S%C3%A3o+Louren%C3%A7o,+Bragan%C3%A7a+Paulista+-+SP,+12908-730/@-22.9368356,-46.544606,955m/data=!3m2!1e3!4b1!4m15!1m8!3m7!1s0x94ceca25b0d664ff:0x52f64613e96e150e!2sAv.+dos+Imigrantes,+Bragan%C3%A7a+Paulista+-+SP!3b1!8m2!3d-22.941054!4d-46.5407478!16s%2Fg%2F1ymxglp6q!3m5!1s0x94ceca24ebedb429:0xf392671e336a2891!8m2!3d-22.9368385!4d-46.5417718!16s%2Fg%2F11vlw1qlsz?entry=ttu&amp;g_ep=EgoyMDI2MDQyOS4wIKXMDSoASAFQAw%3D%3D</t>
  </si>
  <si>
    <t>Região</t>
  </si>
  <si>
    <t>Norte</t>
  </si>
  <si>
    <t>Noroeste</t>
  </si>
  <si>
    <t>Leste</t>
  </si>
  <si>
    <t>https://www.google.com/maps/place/R.+Expedicion%C3%A1rio+Jos%C3%A9+Franco+de+Macedo,+871-809+-+Penha,+Bragan%C3%A7a+Paulista+-+SP,+12929-460/@-22.9387218,-46.5399746,5975m/data=!3m1!1e3!4m15!1m8!3m7!1s0x94cec9870b781e47:0x21c2ad1992f2085c!2sR.+Carvalho+Mota,+192+-+Vila+Mota,+Bragan%C3%A7a+Paulista+-+SP,+12903-170!3b1!8m2!3d-22.9482546!4d-46.5478233!16s%2Fg%2F11g8bbvb76!3m5!1s0x94cec9ffce7c8f41:0xfd759d4697d01a7f!8m2!3d-22.9385127!4d-46.5170027!16s%2Fg%2F11g656vfny?entry=ttu&amp;g_ep=EgoyMDI2MDQyOS4wIKXMDSoASAFQAw%3D%3D</t>
  </si>
  <si>
    <t>Sul</t>
  </si>
  <si>
    <t>https://www.google.com/maps/place/R.+Dijon,+109-1+-+Res.+Euroville,+Bragan%C3%A7a+Paulista+-+SP/@-22.9807599,-46.5482368,477m/data=!3m2!1e3!4b1!4m6!3m5!1s0x94cec9add2af3391:0x33258ce5dd3ba25b!8m2!3d-22.9807616!4d-46.5473395!16s%2Fg%2F11c65nkwfq?entry=ttu&amp;g_ep=EgoyMDI2MDQyOS4wIKXMDSoASAFQAw%3D%3D</t>
  </si>
  <si>
    <t>Oeste</t>
  </si>
  <si>
    <t>https://www.google.com/maps/place/R.+Sangiovese,+159+-+Jardins,+Bragan%C3%A7a+Paulista+-+SP,+12903-794/@-22.9340417,-46.5712307,955m/data=!3m2!1e3!4b1!4m6!3m5!1s0x94cecbb8b5b67537:0x74cc4283a1d945bd!8m2!3d-22.934046!4d-46.569018!16s%2Fg%2F11x2m580m_?entry=ttu&amp;g_ep=EgoyMDI2MDQyOS4wIKXMDSoASAFQAw%3D%3D</t>
  </si>
  <si>
    <t>https://www.google.com/maps/place/R.+Cel.+Lu%C3%ADs+Leme,+118-170+-+Jardim+Santa+Rita+de+Cassia,+Bragan%C3%A7a+Paulista+-+SP,+12914-010/@-22.9558097,-46.539459,477m/data=!3m2!1e3!4b1!4m6!3m5!1s0x94cec993b2f63949:0x5495e4059e533f70!8m2!3d-22.9558116!4d-46.5384518!16s%2Fg%2F11c622qlwv?entry=ttu&amp;g_ep=EgoyMDI2MDQyOS4wIKXMDSoASAFQAw%3D%3D</t>
  </si>
  <si>
    <t>https://www.google.com/maps/place/R.+da+Tecnologia,+536+-+Res.+Hipica+Jaguari,+Bragan%C3%A7a+Paulista+-+SP,+12926-677/@-22.9239452,-46.5463773,955m/data=!3m2!1e3!4b1!4m6!3m5!1s0x94ceca464a4af643:0xe8980db9bb81c804!8m2!3d-22.9239502!4d-46.5438024!16s%2Fg%2F11fpnny18_?entry=ttu&amp;g_ep=EgoyMDI2MDQyOS4wIKXMDSoASAFQAw%3D%3D</t>
  </si>
  <si>
    <t>Jardim America</t>
  </si>
  <si>
    <t>Av. Dr. Manoel José Vilaça</t>
  </si>
  <si>
    <t>R. Adele Pagetti</t>
  </si>
  <si>
    <t>São Lourenço</t>
  </si>
  <si>
    <t>R. Ruth Franco Rocha</t>
  </si>
  <si>
    <t>Res. Hipica Jaguari</t>
  </si>
  <si>
    <t>R. da Tecnologia</t>
  </si>
  <si>
    <t>Penha</t>
  </si>
  <si>
    <t>R. Expedicionário José Franco de Macedo</t>
  </si>
  <si>
    <t>Res. Euroville</t>
  </si>
  <si>
    <t>R. Dijon</t>
  </si>
  <si>
    <t>Jardins</t>
  </si>
  <si>
    <t>R. Sangiovese</t>
  </si>
  <si>
    <t>Jardim Santa Rita de Cassia</t>
  </si>
  <si>
    <t>R. Cel. Luís Leme</t>
  </si>
  <si>
    <t>ID Produto</t>
  </si>
  <si>
    <t>Categoria Produto</t>
  </si>
  <si>
    <t>Unidade de Medida</t>
  </si>
  <si>
    <t>Marca ou Tipo</t>
  </si>
  <si>
    <t>Preço com Desconto</t>
  </si>
  <si>
    <t>Preço Final</t>
  </si>
  <si>
    <t>Peso</t>
  </si>
  <si>
    <t>Kg</t>
  </si>
  <si>
    <t>Unidade</t>
  </si>
  <si>
    <t>Chave de Escolha</t>
  </si>
  <si>
    <t>Preço por Unidade de Medida</t>
  </si>
  <si>
    <t>ID Lista</t>
  </si>
  <si>
    <t>Quantidade</t>
  </si>
  <si>
    <t>ID Ponto de Partida</t>
  </si>
  <si>
    <t>Item | Marca</t>
  </si>
  <si>
    <t>Ponto de Partida</t>
  </si>
  <si>
    <t>Arroz | Namorado | 1 | Kg</t>
  </si>
  <si>
    <t>Batata | Batata Asterix selecionada | 1 | Kg</t>
  </si>
  <si>
    <t>Café em pó | 3 Corações | 1 | Kg</t>
  </si>
  <si>
    <t>Leite | Nestlé Ninho | 1 | Unidade</t>
  </si>
  <si>
    <t>Tomate | Tomate comum | 1 | Kg</t>
  </si>
  <si>
    <t>Arroz | Tio João | 1 | Kg</t>
  </si>
  <si>
    <t>Banana | Banana maçã | 1 | Kg</t>
  </si>
  <si>
    <t>Café em pó | Caboclo | 1 | Kg</t>
  </si>
  <si>
    <t>Feijão | Kicaldo | 1 | Kg</t>
  </si>
  <si>
    <t>Açúcar | Guarani | 1 | Kg</t>
  </si>
  <si>
    <t>Batata | Batata doce | 1 | Kg</t>
  </si>
  <si>
    <t>Carne | Acém | 1 | Kg</t>
  </si>
  <si>
    <t>Açúcar | União | 1 | Kg</t>
  </si>
  <si>
    <t>Carne | Filé Mignon | 1 | Kg</t>
  </si>
  <si>
    <t>Leite | Italac | 1 | Unidade</t>
  </si>
  <si>
    <t>Tomate | Tomate italiano | 1 | Kg</t>
  </si>
  <si>
    <t>Açúcar | Caravelas | 1 | Kg</t>
  </si>
  <si>
    <t>Banana | Banana nanica | 1 | Kg</t>
  </si>
  <si>
    <t>Data Coleta de preço</t>
  </si>
  <si>
    <t>Banana Prata</t>
  </si>
  <si>
    <t>Camil</t>
  </si>
  <si>
    <t>Prato Fino</t>
  </si>
  <si>
    <t>Banana Nanica</t>
  </si>
  <si>
    <t>Banana Maçã</t>
  </si>
  <si>
    <t>Batata Inglesa</t>
  </si>
  <si>
    <t>Melitta</t>
  </si>
  <si>
    <t>Contra-filé</t>
  </si>
  <si>
    <t>Dona Benta</t>
  </si>
  <si>
    <t>Broto Legal</t>
  </si>
  <si>
    <t>Tirol</t>
  </si>
  <si>
    <t>Pão Francês</t>
  </si>
  <si>
    <t>Baguete</t>
  </si>
  <si>
    <t>Pães</t>
  </si>
  <si>
    <t>Pão de Banha</t>
  </si>
  <si>
    <t>Tomate cereja</t>
  </si>
  <si>
    <t>Farinha de Trigo</t>
  </si>
  <si>
    <t>Óleo</t>
  </si>
  <si>
    <t>Margarina</t>
  </si>
  <si>
    <t>Doriana</t>
  </si>
  <si>
    <t>Qualy</t>
  </si>
  <si>
    <t>Claybom</t>
  </si>
  <si>
    <t>Óleo Vitaliv</t>
  </si>
  <si>
    <t>Óleo Liza</t>
  </si>
  <si>
    <t>Banana | Banana Prata | 1 | Kg</t>
  </si>
  <si>
    <t>Farinha de Trigo | Dona Benta | 1 | Kg</t>
  </si>
  <si>
    <t>Feijão | Broto Legal | 1 | Kg</t>
  </si>
  <si>
    <t>Margarina | Doriana | 0,5 | Kg</t>
  </si>
  <si>
    <t>Pães | Pão Francês | 1 | Kg</t>
  </si>
  <si>
    <t>Óleo | Óleo Soya | 1 | Unidade</t>
  </si>
  <si>
    <t>Farinha de Trigo | Rosa Branca | 1 | Kg</t>
  </si>
  <si>
    <t>Batata | Batata Inglesa | 1 | Kg</t>
  </si>
  <si>
    <t>Margarina | Qualy | 0,5 | Kg</t>
  </si>
  <si>
    <t>Arroz | Prato Fino | 1 | Kg</t>
  </si>
  <si>
    <t>Feijão | Camil | 1 | Kg</t>
  </si>
  <si>
    <t>Leite | Tirol | 1 | Unidade</t>
  </si>
  <si>
    <t>Café em pó | Melitta | 1 | Kg</t>
  </si>
  <si>
    <t>Farinha de Trigo | Fleischmann | 1 | Kg</t>
  </si>
  <si>
    <t>Margarina | Claybom | 0,5 | Kg</t>
  </si>
  <si>
    <t>Pães | Baguete | 1 | Kg</t>
  </si>
  <si>
    <t>Óleo | Óleo Vitaliv | 1 | Unidade</t>
  </si>
  <si>
    <t>Carne | Contra-filé | 1 | Kg</t>
  </si>
  <si>
    <t>Pães | Pão de Banha | 1 | Kg</t>
  </si>
  <si>
    <t>Tomate | Tomate cereja | 0,25 | Kg</t>
  </si>
  <si>
    <t>R. Ruth Franco Rocha - São Lourenço, Bragança Paulista - SP, 12908-730</t>
  </si>
  <si>
    <t>R. da Tecnologia - Res. Hipica Jaguari, Bragança Paulista - SP, 12926-677</t>
  </si>
  <si>
    <t>R. Expedicionário José Franco de Macedo - Penha, Bragança Paulista - SP, 12929-460</t>
  </si>
  <si>
    <t>R. Dijon - Res. Euroville, Bragança Paulista - SP</t>
  </si>
  <si>
    <t>R. Sangiovese - Jardins, Bragança Paulista - SP, 12903-794</t>
  </si>
  <si>
    <t>R. Cel. Luís Leme - Jardim Santa Rita de Cassia, Bragança Paulista - SP, 12914-010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</si>
</sst>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#,##0.000000"/>
    <numFmt numFmtId="166" formatCode="#,##0.0000000"/>
    <numFmt numFmtId="167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2" applyFont="1"/>
    <xf numFmtId="164" fontId="0" fillId="0" borderId="0" xfId="1" applyNumberFormat="1" applyFont="1"/>
    <xf numFmtId="0" fontId="0" fillId="0" borderId="0" xfId="0" applyAlignment="1">
      <alignment horizontal="center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selection activeCell="C23" sqref="C23"/>
    </sheetView>
  </sheetViews>
  <sheetFormatPr defaultRowHeight="14.4" x14ac:dyDescent="0.3"/>
  <cols>
    <col min="1" max="1" width="10.5546875" style="3" bestFit="1" customWidth="1"/>
    <col min="2" max="2" width="18.21875" bestFit="1" customWidth="1"/>
    <col min="3" max="3" width="34.109375" customWidth="1"/>
    <col min="4" max="4" width="88.21875" bestFit="1" customWidth="1"/>
    <col min="5" max="5" width="11.44140625" customWidth="1"/>
    <col min="6" max="6" width="12.109375" bestFit="1" customWidth="1"/>
    <col min="7" max="7" width="11.109375" bestFit="1" customWidth="1"/>
  </cols>
  <sheetData>
    <row r="1" spans="1:13" x14ac:dyDescent="0.3">
      <c r="A1" s="3" t="s">
        <v>4</v>
      </c>
      <c r="B1" s="7" t="s">
        <v>68</v>
      </c>
      <c r="C1" s="7" t="s">
        <v>0</v>
      </c>
      <c r="D1" s="7" t="s">
        <v>59</v>
      </c>
      <c r="E1" s="7" t="s">
        <v>72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</row>
    <row r="2" spans="1:13" x14ac:dyDescent="0.3">
      <c r="A2" s="3">
        <v>1</v>
      </c>
      <c r="B2" t="s">
        <v>56</v>
      </c>
      <c r="C2" t="s">
        <v>25</v>
      </c>
      <c r="D2" t="s">
        <v>1</v>
      </c>
      <c r="E2" t="s">
        <v>73</v>
      </c>
      <c r="F2" s="6">
        <v>-22.912806199999999</v>
      </c>
      <c r="G2" s="6">
        <v>-46.559399200000001</v>
      </c>
      <c r="H2" s="4" t="s">
        <v>82</v>
      </c>
      <c r="I2" t="s">
        <v>83</v>
      </c>
      <c r="J2" t="s">
        <v>84</v>
      </c>
      <c r="K2" t="s">
        <v>85</v>
      </c>
      <c r="L2" t="s">
        <v>86</v>
      </c>
      <c r="M2">
        <v>42</v>
      </c>
    </row>
    <row r="3" spans="1:13" x14ac:dyDescent="0.3">
      <c r="A3" s="3">
        <f>A2+1</f>
        <v>2</v>
      </c>
      <c r="B3" t="s">
        <v>69</v>
      </c>
      <c r="C3" t="s">
        <v>27</v>
      </c>
      <c r="D3" t="s">
        <v>2</v>
      </c>
      <c r="E3" t="s">
        <v>74</v>
      </c>
      <c r="F3" s="6">
        <v>-22.916001999999999</v>
      </c>
      <c r="G3" s="6">
        <v>-46.554093000000002</v>
      </c>
      <c r="H3" s="4" t="s">
        <v>82</v>
      </c>
      <c r="I3" t="s">
        <v>83</v>
      </c>
      <c r="J3" t="s">
        <v>84</v>
      </c>
      <c r="K3" t="s">
        <v>87</v>
      </c>
      <c r="L3" t="s">
        <v>88</v>
      </c>
      <c r="M3">
        <v>601</v>
      </c>
    </row>
    <row r="4" spans="1:13" x14ac:dyDescent="0.3">
      <c r="A4" s="3">
        <f t="shared" ref="A4:A8" si="0">A3+1</f>
        <v>3</v>
      </c>
      <c r="B4" t="s">
        <v>56</v>
      </c>
      <c r="C4" t="s">
        <v>26</v>
      </c>
      <c r="D4" t="s">
        <v>3</v>
      </c>
      <c r="E4" t="s">
        <v>75</v>
      </c>
      <c r="F4" s="6">
        <v>-22.956684200000002</v>
      </c>
      <c r="G4" s="6">
        <v>-46.545014799999997</v>
      </c>
      <c r="H4" s="4" t="s">
        <v>82</v>
      </c>
      <c r="I4" t="s">
        <v>83</v>
      </c>
      <c r="J4" t="s">
        <v>84</v>
      </c>
      <c r="K4" t="s">
        <v>89</v>
      </c>
      <c r="L4" t="s">
        <v>90</v>
      </c>
      <c r="M4">
        <v>1151</v>
      </c>
    </row>
    <row r="5" spans="1:13" x14ac:dyDescent="0.3">
      <c r="A5" s="3">
        <f t="shared" si="0"/>
        <v>4</v>
      </c>
      <c r="B5" t="s">
        <v>69</v>
      </c>
      <c r="C5" t="s">
        <v>28</v>
      </c>
      <c r="D5" t="s">
        <v>76</v>
      </c>
      <c r="E5" t="s">
        <v>77</v>
      </c>
      <c r="F5" s="6">
        <v>-22.955058999999999</v>
      </c>
      <c r="G5" s="6">
        <v>-46.546487399999997</v>
      </c>
      <c r="H5" s="4" t="s">
        <v>82</v>
      </c>
      <c r="I5" t="s">
        <v>83</v>
      </c>
      <c r="J5" t="s">
        <v>84</v>
      </c>
      <c r="K5" t="s">
        <v>89</v>
      </c>
      <c r="L5" t="s">
        <v>91</v>
      </c>
      <c r="M5">
        <v>2120</v>
      </c>
    </row>
    <row r="6" spans="1:13" x14ac:dyDescent="0.3">
      <c r="A6" s="3">
        <f t="shared" si="0"/>
        <v>5</v>
      </c>
      <c r="B6" t="s">
        <v>70</v>
      </c>
      <c r="C6" t="s">
        <v>29</v>
      </c>
      <c r="D6" t="s">
        <v>78</v>
      </c>
      <c r="E6" t="s">
        <v>79</v>
      </c>
      <c r="F6" s="6">
        <v>-22.9489138</v>
      </c>
      <c r="G6" s="6">
        <v>-46.528219100000001</v>
      </c>
      <c r="H6" s="4" t="s">
        <v>82</v>
      </c>
      <c r="I6" t="s">
        <v>83</v>
      </c>
      <c r="J6" t="s">
        <v>84</v>
      </c>
      <c r="K6" t="s">
        <v>92</v>
      </c>
      <c r="L6" t="s">
        <v>93</v>
      </c>
      <c r="M6">
        <v>100</v>
      </c>
    </row>
    <row r="7" spans="1:13" x14ac:dyDescent="0.3">
      <c r="A7" s="3">
        <f t="shared" si="0"/>
        <v>6</v>
      </c>
      <c r="B7" t="s">
        <v>71</v>
      </c>
      <c r="C7" t="s">
        <v>30</v>
      </c>
      <c r="D7" t="s">
        <v>32</v>
      </c>
      <c r="E7" t="s">
        <v>80</v>
      </c>
      <c r="F7" s="6">
        <v>-22.974678000000001</v>
      </c>
      <c r="G7" s="6">
        <v>-46.530086500000003</v>
      </c>
      <c r="H7" s="4" t="s">
        <v>82</v>
      </c>
      <c r="I7" t="s">
        <v>83</v>
      </c>
      <c r="J7" t="s">
        <v>84</v>
      </c>
      <c r="K7" t="s">
        <v>94</v>
      </c>
      <c r="L7" t="s">
        <v>95</v>
      </c>
      <c r="M7">
        <v>1025</v>
      </c>
    </row>
    <row r="8" spans="1:13" x14ac:dyDescent="0.3">
      <c r="A8" s="3">
        <f t="shared" si="0"/>
        <v>7</v>
      </c>
      <c r="B8" t="s">
        <v>71</v>
      </c>
      <c r="C8" t="s">
        <v>31</v>
      </c>
      <c r="D8" t="s">
        <v>33</v>
      </c>
      <c r="E8" t="s">
        <v>81</v>
      </c>
      <c r="F8" s="6">
        <v>-22.947056700000001</v>
      </c>
      <c r="G8" s="6">
        <v>-46.544871899999997</v>
      </c>
      <c r="H8" s="4" t="s">
        <v>82</v>
      </c>
      <c r="I8" t="s">
        <v>83</v>
      </c>
      <c r="J8" t="s">
        <v>84</v>
      </c>
      <c r="K8" t="s">
        <v>96</v>
      </c>
      <c r="L8" t="s">
        <v>97</v>
      </c>
      <c r="M8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1339-4AA3-4455-B876-BE7B56BBF58B}">
  <dimension ref="A1:L9"/>
  <sheetViews>
    <sheetView showGridLines="0" workbookViewId="0">
      <selection activeCell="B10" sqref="B10"/>
    </sheetView>
  </sheetViews>
  <sheetFormatPr defaultRowHeight="14.4" x14ac:dyDescent="0.3"/>
  <cols>
    <col min="1" max="1" width="10.88671875" style="3" bestFit="1" customWidth="1"/>
    <col min="2" max="2" width="65.33203125" bestFit="1" customWidth="1"/>
    <col min="3" max="3" width="12" customWidth="1"/>
    <col min="4" max="4" width="9.109375" bestFit="1" customWidth="1"/>
    <col min="5" max="6" width="10.109375" bestFit="1" customWidth="1"/>
    <col min="7" max="7" width="4.21875" bestFit="1" customWidth="1"/>
    <col min="8" max="9" width="6.5546875" bestFit="1" customWidth="1"/>
    <col min="10" max="10" width="6" bestFit="1" customWidth="1"/>
    <col min="11" max="11" width="4.109375" bestFit="1" customWidth="1"/>
    <col min="12" max="12" width="7.6640625" bestFit="1" customWidth="1"/>
  </cols>
  <sheetData>
    <row r="1" spans="1:12" x14ac:dyDescent="0.3">
      <c r="A1" s="7" t="s">
        <v>98</v>
      </c>
      <c r="B1" s="7" t="s">
        <v>59</v>
      </c>
      <c r="C1" s="7" t="s">
        <v>104</v>
      </c>
      <c r="D1" s="7" t="s">
        <v>72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</row>
    <row r="2" spans="1:12" x14ac:dyDescent="0.3">
      <c r="A2" s="3">
        <v>1</v>
      </c>
      <c r="B2" t="s">
        <v>99</v>
      </c>
      <c r="C2" t="s">
        <v>89</v>
      </c>
      <c r="D2" t="s">
        <v>100</v>
      </c>
      <c r="E2" s="5">
        <v>-22.9572991</v>
      </c>
      <c r="F2" s="5">
        <v>-46.547782499999997</v>
      </c>
      <c r="G2" t="s">
        <v>82</v>
      </c>
      <c r="H2" t="s">
        <v>83</v>
      </c>
      <c r="I2" t="s">
        <v>84</v>
      </c>
      <c r="J2" t="s">
        <v>115</v>
      </c>
      <c r="K2" t="s">
        <v>116</v>
      </c>
    </row>
    <row r="3" spans="1:12" x14ac:dyDescent="0.3">
      <c r="A3" s="3">
        <f>A2+1</f>
        <v>2</v>
      </c>
      <c r="B3" t="s">
        <v>101</v>
      </c>
      <c r="C3" t="s">
        <v>105</v>
      </c>
      <c r="D3" t="s">
        <v>102</v>
      </c>
      <c r="E3" s="5">
        <v>-22.917407600000001</v>
      </c>
      <c r="F3" s="5">
        <v>-46.557802000000002</v>
      </c>
      <c r="G3" t="s">
        <v>82</v>
      </c>
      <c r="H3" t="s">
        <v>83</v>
      </c>
      <c r="I3" t="s">
        <v>84</v>
      </c>
      <c r="J3" t="s">
        <v>87</v>
      </c>
      <c r="K3" t="s">
        <v>117</v>
      </c>
    </row>
    <row r="4" spans="1:12" x14ac:dyDescent="0.3">
      <c r="A4" s="3">
        <f t="shared" ref="A4:A9" si="0">A3+1</f>
        <v>3</v>
      </c>
      <c r="B4" t="s">
        <v>209</v>
      </c>
      <c r="C4" t="s">
        <v>106</v>
      </c>
      <c r="D4" t="s">
        <v>103</v>
      </c>
      <c r="E4" s="5">
        <v>-22.9368385</v>
      </c>
      <c r="F4" s="5">
        <v>-46.541771799999999</v>
      </c>
      <c r="G4" t="s">
        <v>82</v>
      </c>
      <c r="H4" t="s">
        <v>83</v>
      </c>
      <c r="I4" t="s">
        <v>84</v>
      </c>
      <c r="J4" t="s">
        <v>118</v>
      </c>
      <c r="K4" t="s">
        <v>119</v>
      </c>
    </row>
    <row r="5" spans="1:12" x14ac:dyDescent="0.3">
      <c r="A5" s="3">
        <f t="shared" si="0"/>
        <v>4</v>
      </c>
      <c r="B5" t="s">
        <v>210</v>
      </c>
      <c r="C5" t="s">
        <v>105</v>
      </c>
      <c r="D5" t="s">
        <v>114</v>
      </c>
      <c r="E5" s="5">
        <v>-22.9239502</v>
      </c>
      <c r="F5" s="5">
        <v>-46.543802399999997</v>
      </c>
      <c r="G5" t="s">
        <v>82</v>
      </c>
      <c r="H5" t="s">
        <v>83</v>
      </c>
      <c r="I5" t="s">
        <v>84</v>
      </c>
      <c r="J5" t="s">
        <v>120</v>
      </c>
      <c r="K5" t="s">
        <v>121</v>
      </c>
    </row>
    <row r="6" spans="1:12" x14ac:dyDescent="0.3">
      <c r="A6" s="3">
        <f t="shared" si="0"/>
        <v>5</v>
      </c>
      <c r="B6" t="s">
        <v>211</v>
      </c>
      <c r="C6" t="s">
        <v>107</v>
      </c>
      <c r="D6" t="s">
        <v>108</v>
      </c>
      <c r="E6" s="5">
        <v>-22.9385127</v>
      </c>
      <c r="F6" s="5">
        <v>-46.517002699999999</v>
      </c>
      <c r="G6" t="s">
        <v>82</v>
      </c>
      <c r="H6" t="s">
        <v>83</v>
      </c>
      <c r="I6" t="s">
        <v>84</v>
      </c>
      <c r="J6" t="s">
        <v>122</v>
      </c>
      <c r="K6" t="s">
        <v>123</v>
      </c>
    </row>
    <row r="7" spans="1:12" x14ac:dyDescent="0.3">
      <c r="A7" s="3">
        <f t="shared" si="0"/>
        <v>6</v>
      </c>
      <c r="B7" t="s">
        <v>212</v>
      </c>
      <c r="C7" t="s">
        <v>109</v>
      </c>
      <c r="D7" t="s">
        <v>110</v>
      </c>
      <c r="E7" s="5">
        <v>-22.980761600000001</v>
      </c>
      <c r="F7" s="5">
        <v>-46.5473395</v>
      </c>
      <c r="G7" t="s">
        <v>82</v>
      </c>
      <c r="H7" t="s">
        <v>83</v>
      </c>
      <c r="I7" t="s">
        <v>84</v>
      </c>
      <c r="J7" t="s">
        <v>124</v>
      </c>
      <c r="K7" t="s">
        <v>125</v>
      </c>
    </row>
    <row r="8" spans="1:12" x14ac:dyDescent="0.3">
      <c r="A8" s="3">
        <f t="shared" si="0"/>
        <v>7</v>
      </c>
      <c r="B8" t="s">
        <v>213</v>
      </c>
      <c r="C8" t="s">
        <v>111</v>
      </c>
      <c r="D8" t="s">
        <v>112</v>
      </c>
      <c r="E8" s="5">
        <v>-22.934045999999999</v>
      </c>
      <c r="F8" s="5">
        <v>-46.569018</v>
      </c>
      <c r="G8" t="s">
        <v>82</v>
      </c>
      <c r="H8" t="s">
        <v>83</v>
      </c>
      <c r="I8" t="s">
        <v>84</v>
      </c>
      <c r="J8" t="s">
        <v>126</v>
      </c>
      <c r="K8" t="s">
        <v>127</v>
      </c>
    </row>
    <row r="9" spans="1:12" x14ac:dyDescent="0.3">
      <c r="A9" s="3">
        <f t="shared" si="0"/>
        <v>8</v>
      </c>
      <c r="B9" t="s">
        <v>214</v>
      </c>
      <c r="C9" t="s">
        <v>89</v>
      </c>
      <c r="D9" t="s">
        <v>113</v>
      </c>
      <c r="E9" s="5">
        <v>-22.955811600000001</v>
      </c>
      <c r="F9" s="5">
        <v>-46.538451799999997</v>
      </c>
      <c r="G9" t="s">
        <v>82</v>
      </c>
      <c r="H9" t="s">
        <v>83</v>
      </c>
      <c r="I9" t="s">
        <v>84</v>
      </c>
      <c r="J9" t="s">
        <v>128</v>
      </c>
      <c r="K9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AF37-6087-49CB-A6BC-06CE0B9A9D13}">
  <dimension ref="A1:F40"/>
  <sheetViews>
    <sheetView showGridLines="0" zoomScale="70" zoomScaleNormal="70" workbookViewId="0">
      <selection activeCell="D26" sqref="D26"/>
    </sheetView>
  </sheetViews>
  <sheetFormatPr defaultRowHeight="14.4" x14ac:dyDescent="0.3"/>
  <cols>
    <col min="1" max="1" width="18.109375" style="3" customWidth="1"/>
    <col min="2" max="2" width="64.109375" bestFit="1" customWidth="1"/>
    <col min="3" max="4" width="18.109375" customWidth="1"/>
    <col min="5" max="5" width="18.109375" style="3" customWidth="1"/>
    <col min="6" max="6" width="32.88671875" bestFit="1" customWidth="1"/>
    <col min="7" max="7" width="18.109375" customWidth="1"/>
  </cols>
  <sheetData>
    <row r="1" spans="1:6" x14ac:dyDescent="0.3">
      <c r="A1" s="7" t="s">
        <v>130</v>
      </c>
      <c r="B1" s="7" t="s">
        <v>139</v>
      </c>
      <c r="C1" s="7" t="s">
        <v>131</v>
      </c>
      <c r="D1" s="7" t="s">
        <v>132</v>
      </c>
      <c r="E1" s="7" t="s">
        <v>136</v>
      </c>
      <c r="F1" s="7" t="s">
        <v>133</v>
      </c>
    </row>
    <row r="2" spans="1:6" x14ac:dyDescent="0.3">
      <c r="A2" s="3">
        <v>1</v>
      </c>
      <c r="B2" t="str">
        <f>CONCATENATE(C2," | ",F2," | ",E2," | ",D2)</f>
        <v>Açúcar | Caravelas | 1 | Kg</v>
      </c>
      <c r="C2" t="s">
        <v>54</v>
      </c>
      <c r="D2" t="s">
        <v>137</v>
      </c>
      <c r="E2" s="3">
        <v>1</v>
      </c>
      <c r="F2" t="s">
        <v>55</v>
      </c>
    </row>
    <row r="3" spans="1:6" x14ac:dyDescent="0.3">
      <c r="A3" s="3">
        <v>2</v>
      </c>
      <c r="B3" t="str">
        <f t="shared" ref="B3:B40" si="0">CONCATENATE(C3," | ",F3," | ",E3," | ",D3)</f>
        <v>Açúcar | União | 1 | Kg</v>
      </c>
      <c r="C3" t="s">
        <v>54</v>
      </c>
      <c r="D3" t="s">
        <v>137</v>
      </c>
      <c r="E3" s="3">
        <v>1</v>
      </c>
      <c r="F3" t="s">
        <v>56</v>
      </c>
    </row>
    <row r="4" spans="1:6" x14ac:dyDescent="0.3">
      <c r="A4" s="3">
        <v>3</v>
      </c>
      <c r="B4" t="str">
        <f t="shared" si="0"/>
        <v>Açúcar | Guarani | 1 | Kg</v>
      </c>
      <c r="C4" t="s">
        <v>54</v>
      </c>
      <c r="D4" t="s">
        <v>137</v>
      </c>
      <c r="E4" s="3">
        <v>1</v>
      </c>
      <c r="F4" t="s">
        <v>57</v>
      </c>
    </row>
    <row r="5" spans="1:6" x14ac:dyDescent="0.3">
      <c r="A5" s="3">
        <v>4</v>
      </c>
      <c r="B5" t="str">
        <f t="shared" si="0"/>
        <v>Arroz | Namorado | 1 | Kg</v>
      </c>
      <c r="C5" t="s">
        <v>20</v>
      </c>
      <c r="D5" t="s">
        <v>137</v>
      </c>
      <c r="E5" s="3">
        <v>1</v>
      </c>
      <c r="F5" t="s">
        <v>41</v>
      </c>
    </row>
    <row r="6" spans="1:6" x14ac:dyDescent="0.3">
      <c r="A6" s="3">
        <v>5</v>
      </c>
      <c r="B6" t="str">
        <f t="shared" si="0"/>
        <v>Arroz | Tio João | 1 | Kg</v>
      </c>
      <c r="C6" t="s">
        <v>20</v>
      </c>
      <c r="D6" t="s">
        <v>137</v>
      </c>
      <c r="E6" s="3">
        <v>1</v>
      </c>
      <c r="F6" t="s">
        <v>42</v>
      </c>
    </row>
    <row r="7" spans="1:6" x14ac:dyDescent="0.3">
      <c r="A7" s="3">
        <v>6</v>
      </c>
      <c r="B7" t="str">
        <f t="shared" si="0"/>
        <v>Arroz | Prato Fino | 1 | Kg</v>
      </c>
      <c r="C7" t="s">
        <v>20</v>
      </c>
      <c r="D7" t="s">
        <v>137</v>
      </c>
      <c r="E7" s="3">
        <v>1</v>
      </c>
      <c r="F7" t="s">
        <v>167</v>
      </c>
    </row>
    <row r="8" spans="1:6" x14ac:dyDescent="0.3">
      <c r="A8" s="3">
        <v>7</v>
      </c>
      <c r="B8" t="str">
        <f t="shared" si="0"/>
        <v>Banana | Banana Nanica | 1 | Kg</v>
      </c>
      <c r="C8" t="s">
        <v>53</v>
      </c>
      <c r="D8" t="s">
        <v>137</v>
      </c>
      <c r="E8" s="3">
        <v>1</v>
      </c>
      <c r="F8" t="s">
        <v>168</v>
      </c>
    </row>
    <row r="9" spans="1:6" x14ac:dyDescent="0.3">
      <c r="A9" s="3">
        <v>8</v>
      </c>
      <c r="B9" t="str">
        <f t="shared" si="0"/>
        <v>Banana | Banana Prata | 1 | Kg</v>
      </c>
      <c r="C9" t="s">
        <v>53</v>
      </c>
      <c r="D9" t="s">
        <v>137</v>
      </c>
      <c r="E9" s="3">
        <v>1</v>
      </c>
      <c r="F9" t="s">
        <v>165</v>
      </c>
    </row>
    <row r="10" spans="1:6" x14ac:dyDescent="0.3">
      <c r="A10" s="3">
        <v>9</v>
      </c>
      <c r="B10" t="str">
        <f t="shared" si="0"/>
        <v>Banana | Banana Maçã | 1 | Kg</v>
      </c>
      <c r="C10" t="s">
        <v>53</v>
      </c>
      <c r="D10" t="s">
        <v>137</v>
      </c>
      <c r="E10" s="3">
        <v>1</v>
      </c>
      <c r="F10" t="s">
        <v>169</v>
      </c>
    </row>
    <row r="11" spans="1:6" x14ac:dyDescent="0.3">
      <c r="A11" s="3">
        <v>10</v>
      </c>
      <c r="B11" t="str">
        <f t="shared" si="0"/>
        <v>Batata | Batata Inglesa | 1 | Kg</v>
      </c>
      <c r="C11" t="s">
        <v>17</v>
      </c>
      <c r="D11" t="s">
        <v>137</v>
      </c>
      <c r="E11" s="3">
        <v>1</v>
      </c>
      <c r="F11" t="s">
        <v>170</v>
      </c>
    </row>
    <row r="12" spans="1:6" x14ac:dyDescent="0.3">
      <c r="A12" s="3">
        <v>11</v>
      </c>
      <c r="B12" t="str">
        <f t="shared" si="0"/>
        <v>Batata | Batata Asterix selecionada | 1 | Kg</v>
      </c>
      <c r="C12" t="s">
        <v>17</v>
      </c>
      <c r="D12" t="s">
        <v>137</v>
      </c>
      <c r="E12" s="3">
        <v>1</v>
      </c>
      <c r="F12" t="s">
        <v>45</v>
      </c>
    </row>
    <row r="13" spans="1:6" x14ac:dyDescent="0.3">
      <c r="A13" s="3">
        <v>12</v>
      </c>
      <c r="B13" t="str">
        <f t="shared" si="0"/>
        <v>Batata | Batata doce | 1 | Kg</v>
      </c>
      <c r="C13" t="s">
        <v>17</v>
      </c>
      <c r="D13" t="s">
        <v>137</v>
      </c>
      <c r="E13" s="3">
        <v>1</v>
      </c>
      <c r="F13" t="s">
        <v>46</v>
      </c>
    </row>
    <row r="14" spans="1:6" x14ac:dyDescent="0.3">
      <c r="A14" s="3">
        <v>13</v>
      </c>
      <c r="B14" t="str">
        <f t="shared" si="0"/>
        <v>Café em pó | Caboclo | 1 | Kg</v>
      </c>
      <c r="C14" t="s">
        <v>50</v>
      </c>
      <c r="D14" t="s">
        <v>137</v>
      </c>
      <c r="E14" s="3">
        <v>1</v>
      </c>
      <c r="F14" t="s">
        <v>51</v>
      </c>
    </row>
    <row r="15" spans="1:6" x14ac:dyDescent="0.3">
      <c r="A15" s="3">
        <v>14</v>
      </c>
      <c r="B15" t="str">
        <f t="shared" si="0"/>
        <v>Café em pó | 3 Corações | 1 | Kg</v>
      </c>
      <c r="C15" t="s">
        <v>50</v>
      </c>
      <c r="D15" t="s">
        <v>137</v>
      </c>
      <c r="E15" s="3">
        <v>1</v>
      </c>
      <c r="F15" t="s">
        <v>52</v>
      </c>
    </row>
    <row r="16" spans="1:6" x14ac:dyDescent="0.3">
      <c r="A16" s="3">
        <v>15</v>
      </c>
      <c r="B16" t="str">
        <f t="shared" si="0"/>
        <v>Café em pó | Melitta | 1 | Kg</v>
      </c>
      <c r="C16" t="s">
        <v>50</v>
      </c>
      <c r="D16" t="s">
        <v>137</v>
      </c>
      <c r="E16" s="3">
        <v>1</v>
      </c>
      <c r="F16" t="s">
        <v>171</v>
      </c>
    </row>
    <row r="17" spans="1:6" x14ac:dyDescent="0.3">
      <c r="A17" s="3">
        <v>16</v>
      </c>
      <c r="B17" t="str">
        <f t="shared" si="0"/>
        <v>Carne | Acém | 1 | Kg</v>
      </c>
      <c r="C17" t="s">
        <v>34</v>
      </c>
      <c r="D17" t="s">
        <v>137</v>
      </c>
      <c r="E17" s="3">
        <v>1</v>
      </c>
      <c r="F17" t="s">
        <v>35</v>
      </c>
    </row>
    <row r="18" spans="1:6" x14ac:dyDescent="0.3">
      <c r="A18" s="3">
        <v>17</v>
      </c>
      <c r="B18" t="str">
        <f t="shared" si="0"/>
        <v>Carne | Filé Mignon | 1 | Kg</v>
      </c>
      <c r="C18" t="s">
        <v>34</v>
      </c>
      <c r="D18" t="s">
        <v>137</v>
      </c>
      <c r="E18" s="3">
        <v>1</v>
      </c>
      <c r="F18" t="s">
        <v>36</v>
      </c>
    </row>
    <row r="19" spans="1:6" x14ac:dyDescent="0.3">
      <c r="A19" s="3">
        <v>18</v>
      </c>
      <c r="B19" t="str">
        <f t="shared" si="0"/>
        <v>Carne | Contra-filé | 1 | Kg</v>
      </c>
      <c r="C19" t="s">
        <v>34</v>
      </c>
      <c r="D19" t="s">
        <v>137</v>
      </c>
      <c r="E19" s="3">
        <v>1</v>
      </c>
      <c r="F19" t="s">
        <v>172</v>
      </c>
    </row>
    <row r="20" spans="1:6" x14ac:dyDescent="0.3">
      <c r="A20" s="3">
        <v>19</v>
      </c>
      <c r="B20" t="str">
        <f t="shared" si="0"/>
        <v>Farinha de Trigo | Dona Benta | 1 | Kg</v>
      </c>
      <c r="C20" t="s">
        <v>181</v>
      </c>
      <c r="D20" t="s">
        <v>137</v>
      </c>
      <c r="E20" s="3">
        <v>1</v>
      </c>
      <c r="F20" t="s">
        <v>173</v>
      </c>
    </row>
    <row r="21" spans="1:6" x14ac:dyDescent="0.3">
      <c r="A21" s="3">
        <v>20</v>
      </c>
      <c r="B21" t="str">
        <f t="shared" si="0"/>
        <v>Farinha de Trigo | Fleischmann | 1 | Kg</v>
      </c>
      <c r="C21" t="s">
        <v>181</v>
      </c>
      <c r="D21" t="s">
        <v>137</v>
      </c>
      <c r="E21" s="3">
        <v>1</v>
      </c>
      <c r="F21" t="s">
        <v>43</v>
      </c>
    </row>
    <row r="22" spans="1:6" x14ac:dyDescent="0.3">
      <c r="A22" s="3">
        <v>21</v>
      </c>
      <c r="B22" t="str">
        <f t="shared" si="0"/>
        <v>Farinha de Trigo | Rosa Branca | 1 | Kg</v>
      </c>
      <c r="C22" t="s">
        <v>181</v>
      </c>
      <c r="D22" t="s">
        <v>137</v>
      </c>
      <c r="E22" s="3">
        <v>1</v>
      </c>
      <c r="F22" t="s">
        <v>44</v>
      </c>
    </row>
    <row r="23" spans="1:6" x14ac:dyDescent="0.3">
      <c r="A23" s="3">
        <v>22</v>
      </c>
      <c r="B23" t="str">
        <f t="shared" si="0"/>
        <v>Feijão | Kicaldo | 1 | Kg</v>
      </c>
      <c r="C23" t="s">
        <v>39</v>
      </c>
      <c r="D23" t="s">
        <v>137</v>
      </c>
      <c r="E23" s="3">
        <v>1</v>
      </c>
      <c r="F23" t="s">
        <v>40</v>
      </c>
    </row>
    <row r="24" spans="1:6" x14ac:dyDescent="0.3">
      <c r="A24" s="3">
        <v>23</v>
      </c>
      <c r="B24" t="str">
        <f t="shared" si="0"/>
        <v>Feijão | Camil | 1 | Kg</v>
      </c>
      <c r="C24" t="s">
        <v>39</v>
      </c>
      <c r="D24" t="s">
        <v>137</v>
      </c>
      <c r="E24" s="3">
        <v>1</v>
      </c>
      <c r="F24" t="s">
        <v>166</v>
      </c>
    </row>
    <row r="25" spans="1:6" x14ac:dyDescent="0.3">
      <c r="A25" s="3">
        <v>24</v>
      </c>
      <c r="B25" t="str">
        <f t="shared" si="0"/>
        <v>Feijão | Broto Legal | 1 | Kg</v>
      </c>
      <c r="C25" t="s">
        <v>39</v>
      </c>
      <c r="D25" t="s">
        <v>137</v>
      </c>
      <c r="E25" s="3">
        <v>1</v>
      </c>
      <c r="F25" t="s">
        <v>174</v>
      </c>
    </row>
    <row r="26" spans="1:6" x14ac:dyDescent="0.3">
      <c r="A26" s="3">
        <v>25</v>
      </c>
      <c r="B26" t="str">
        <f t="shared" si="0"/>
        <v>Leite | Italac | 1 | Unidade</v>
      </c>
      <c r="C26" t="s">
        <v>15</v>
      </c>
      <c r="D26" t="s">
        <v>138</v>
      </c>
      <c r="E26" s="3">
        <v>1</v>
      </c>
      <c r="F26" t="s">
        <v>37</v>
      </c>
    </row>
    <row r="27" spans="1:6" x14ac:dyDescent="0.3">
      <c r="A27" s="3">
        <v>26</v>
      </c>
      <c r="B27" t="str">
        <f t="shared" si="0"/>
        <v>Leite | Nestlé Ninho | 1 | Unidade</v>
      </c>
      <c r="C27" t="s">
        <v>15</v>
      </c>
      <c r="D27" t="s">
        <v>138</v>
      </c>
      <c r="E27" s="3">
        <v>1</v>
      </c>
      <c r="F27" t="s">
        <v>38</v>
      </c>
    </row>
    <row r="28" spans="1:6" x14ac:dyDescent="0.3">
      <c r="A28" s="3">
        <v>27</v>
      </c>
      <c r="B28" t="str">
        <f t="shared" si="0"/>
        <v>Leite | Tirol | 1 | Unidade</v>
      </c>
      <c r="C28" t="s">
        <v>15</v>
      </c>
      <c r="D28" t="s">
        <v>138</v>
      </c>
      <c r="E28" s="3">
        <v>1</v>
      </c>
      <c r="F28" t="s">
        <v>175</v>
      </c>
    </row>
    <row r="29" spans="1:6" x14ac:dyDescent="0.3">
      <c r="A29" s="3">
        <v>28</v>
      </c>
      <c r="B29" t="str">
        <f t="shared" si="0"/>
        <v>Margarina | Doriana | 0,5 | Kg</v>
      </c>
      <c r="C29" t="s">
        <v>183</v>
      </c>
      <c r="D29" t="s">
        <v>137</v>
      </c>
      <c r="E29" s="3">
        <v>0.5</v>
      </c>
      <c r="F29" t="s">
        <v>184</v>
      </c>
    </row>
    <row r="30" spans="1:6" x14ac:dyDescent="0.3">
      <c r="A30" s="3">
        <v>29</v>
      </c>
      <c r="B30" t="str">
        <f t="shared" si="0"/>
        <v>Margarina | Qualy | 0,5 | Kg</v>
      </c>
      <c r="C30" t="s">
        <v>183</v>
      </c>
      <c r="D30" t="s">
        <v>137</v>
      </c>
      <c r="E30" s="3">
        <v>0.5</v>
      </c>
      <c r="F30" t="s">
        <v>185</v>
      </c>
    </row>
    <row r="31" spans="1:6" x14ac:dyDescent="0.3">
      <c r="A31" s="3">
        <v>30</v>
      </c>
      <c r="B31" t="str">
        <f t="shared" si="0"/>
        <v>Margarina | Claybom | 0,5 | Kg</v>
      </c>
      <c r="C31" t="s">
        <v>183</v>
      </c>
      <c r="D31" t="s">
        <v>137</v>
      </c>
      <c r="E31" s="3">
        <v>0.5</v>
      </c>
      <c r="F31" t="s">
        <v>186</v>
      </c>
    </row>
    <row r="32" spans="1:6" x14ac:dyDescent="0.3">
      <c r="A32" s="3">
        <v>31</v>
      </c>
      <c r="B32" t="str">
        <f t="shared" si="0"/>
        <v>Óleo | Óleo Vitaliv | 1 | Unidade</v>
      </c>
      <c r="C32" t="s">
        <v>182</v>
      </c>
      <c r="D32" t="s">
        <v>138</v>
      </c>
      <c r="E32" s="3">
        <v>1</v>
      </c>
      <c r="F32" t="s">
        <v>187</v>
      </c>
    </row>
    <row r="33" spans="1:6" x14ac:dyDescent="0.3">
      <c r="A33" s="3">
        <v>32</v>
      </c>
      <c r="B33" t="str">
        <f t="shared" si="0"/>
        <v>Óleo | Óleo Soya | 1 | Unidade</v>
      </c>
      <c r="C33" t="s">
        <v>182</v>
      </c>
      <c r="D33" t="s">
        <v>138</v>
      </c>
      <c r="E33" s="3">
        <v>1</v>
      </c>
      <c r="F33" t="s">
        <v>58</v>
      </c>
    </row>
    <row r="34" spans="1:6" x14ac:dyDescent="0.3">
      <c r="A34" s="3">
        <v>33</v>
      </c>
      <c r="B34" t="str">
        <f t="shared" si="0"/>
        <v>Óleo | Óleo Liza | 1 | Unidade</v>
      </c>
      <c r="C34" t="s">
        <v>182</v>
      </c>
      <c r="D34" t="s">
        <v>138</v>
      </c>
      <c r="E34" s="3">
        <v>1</v>
      </c>
      <c r="F34" t="s">
        <v>188</v>
      </c>
    </row>
    <row r="35" spans="1:6" x14ac:dyDescent="0.3">
      <c r="A35" s="3">
        <v>34</v>
      </c>
      <c r="B35" t="str">
        <f t="shared" si="0"/>
        <v>Pães | Pão Francês | 1 | Kg</v>
      </c>
      <c r="C35" t="s">
        <v>178</v>
      </c>
      <c r="D35" t="s">
        <v>137</v>
      </c>
      <c r="E35" s="3">
        <v>1</v>
      </c>
      <c r="F35" t="s">
        <v>176</v>
      </c>
    </row>
    <row r="36" spans="1:6" x14ac:dyDescent="0.3">
      <c r="A36" s="3">
        <v>35</v>
      </c>
      <c r="B36" t="str">
        <f t="shared" si="0"/>
        <v>Pães | Baguete | 1 | Kg</v>
      </c>
      <c r="C36" t="s">
        <v>178</v>
      </c>
      <c r="D36" t="s">
        <v>137</v>
      </c>
      <c r="E36" s="3">
        <v>1</v>
      </c>
      <c r="F36" t="s">
        <v>177</v>
      </c>
    </row>
    <row r="37" spans="1:6" x14ac:dyDescent="0.3">
      <c r="A37" s="3">
        <v>36</v>
      </c>
      <c r="B37" t="str">
        <f t="shared" si="0"/>
        <v>Pães | Pão de Banha | 1 | Kg</v>
      </c>
      <c r="C37" t="s">
        <v>178</v>
      </c>
      <c r="D37" t="s">
        <v>137</v>
      </c>
      <c r="E37" s="3">
        <v>1</v>
      </c>
      <c r="F37" t="s">
        <v>179</v>
      </c>
    </row>
    <row r="38" spans="1:6" x14ac:dyDescent="0.3">
      <c r="A38" s="3">
        <v>37</v>
      </c>
      <c r="B38" t="str">
        <f t="shared" si="0"/>
        <v>Tomate | Tomate comum | 1 | Kg</v>
      </c>
      <c r="C38" t="s">
        <v>47</v>
      </c>
      <c r="D38" t="s">
        <v>137</v>
      </c>
      <c r="E38" s="3">
        <v>1</v>
      </c>
      <c r="F38" t="s">
        <v>48</v>
      </c>
    </row>
    <row r="39" spans="1:6" x14ac:dyDescent="0.3">
      <c r="A39" s="3">
        <v>38</v>
      </c>
      <c r="B39" t="str">
        <f t="shared" si="0"/>
        <v>Tomate | Tomate italiano | 1 | Kg</v>
      </c>
      <c r="C39" t="s">
        <v>47</v>
      </c>
      <c r="D39" t="s">
        <v>137</v>
      </c>
      <c r="E39" s="3">
        <v>1</v>
      </c>
      <c r="F39" t="s">
        <v>49</v>
      </c>
    </row>
    <row r="40" spans="1:6" x14ac:dyDescent="0.3">
      <c r="A40" s="3">
        <v>39</v>
      </c>
      <c r="B40" t="str">
        <f t="shared" si="0"/>
        <v>Tomate | Tomate cereja | 0,25 | Kg</v>
      </c>
      <c r="C40" t="s">
        <v>47</v>
      </c>
      <c r="D40" t="s">
        <v>137</v>
      </c>
      <c r="E40" s="3">
        <v>0.25</v>
      </c>
      <c r="F40" t="s">
        <v>180</v>
      </c>
    </row>
  </sheetData>
  <autoFilter ref="A1:F40" xr:uid="{CCE0AF37-6087-49CB-A6BC-06CE0B9A9D13}">
    <sortState xmlns:xlrd2="http://schemas.microsoft.com/office/spreadsheetml/2017/richdata2" ref="A2:F40">
      <sortCondition ref="C1:C40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BA4-4CA9-4105-925F-994B656B29B7}">
  <dimension ref="A1:M274"/>
  <sheetViews>
    <sheetView showGridLines="0" topLeftCell="B1" zoomScale="70" zoomScaleNormal="70" workbookViewId="0">
      <selection activeCell="H22" sqref="H22"/>
    </sheetView>
  </sheetViews>
  <sheetFormatPr defaultRowHeight="14.4" x14ac:dyDescent="0.3"/>
  <cols>
    <col min="1" max="1" width="18.109375" style="3" customWidth="1"/>
    <col min="2" max="2" width="64.109375" bestFit="1" customWidth="1"/>
    <col min="3" max="4" width="18.109375" customWidth="1"/>
    <col min="5" max="6" width="18.109375" style="3" customWidth="1"/>
    <col min="7" max="7" width="18.109375" customWidth="1"/>
    <col min="8" max="8" width="29.6640625" bestFit="1" customWidth="1"/>
    <col min="9" max="9" width="18.109375" customWidth="1"/>
    <col min="10" max="12" width="18.109375" style="8" customWidth="1"/>
    <col min="13" max="13" width="27.77734375" bestFit="1" customWidth="1"/>
  </cols>
  <sheetData>
    <row r="1" spans="1:13" x14ac:dyDescent="0.3">
      <c r="A1" s="7" t="s">
        <v>130</v>
      </c>
      <c r="B1" s="11" t="s">
        <v>139</v>
      </c>
      <c r="C1" s="7" t="s">
        <v>131</v>
      </c>
      <c r="D1" s="7" t="s">
        <v>132</v>
      </c>
      <c r="E1" s="7" t="s">
        <v>136</v>
      </c>
      <c r="F1" s="7" t="s">
        <v>140</v>
      </c>
      <c r="G1" s="7" t="s">
        <v>133</v>
      </c>
      <c r="H1" s="7" t="s">
        <v>6</v>
      </c>
      <c r="I1" s="7" t="s">
        <v>4</v>
      </c>
      <c r="J1" s="12" t="s">
        <v>7</v>
      </c>
      <c r="K1" s="12" t="s">
        <v>134</v>
      </c>
      <c r="L1" s="9" t="s">
        <v>135</v>
      </c>
      <c r="M1" s="12" t="s">
        <v>164</v>
      </c>
    </row>
    <row r="2" spans="1:13" x14ac:dyDescent="0.3">
      <c r="A2" s="3">
        <v>1</v>
      </c>
      <c r="B2" t="str">
        <f>_xlfn.XLOOKUP(A2,'Produtos &amp; Marcas'!A:A,'Produtos &amp; Marcas'!B:B)</f>
        <v>Açúcar | Caravelas | 1 | Kg</v>
      </c>
      <c r="C2" t="str">
        <f>_xlfn.XLOOKUP(B2,'Produtos &amp; Marcas'!B:B,'Produtos &amp; Marcas'!C:C)</f>
        <v>Açúcar</v>
      </c>
      <c r="D2" t="str">
        <f>_xlfn.XLOOKUP(B2,'Produtos &amp; Marcas'!B:B,'Produtos &amp; Marcas'!D:D)</f>
        <v>Kg</v>
      </c>
      <c r="E2" s="3">
        <f>_xlfn.XLOOKUP(B2,'Produtos &amp; Marcas'!B:B,'Produtos &amp; Marcas'!E:E)</f>
        <v>1</v>
      </c>
      <c r="F2" s="8">
        <f t="shared" ref="F2:F65" si="0">J2/E2</f>
        <v>3.99</v>
      </c>
      <c r="G2" t="str">
        <f>_xlfn.XLOOKUP(B2,'Produtos &amp; Marcas'!B:B,'Produtos &amp; Marcas'!F:F)</f>
        <v>Caravelas</v>
      </c>
      <c r="H2" t="s">
        <v>25</v>
      </c>
      <c r="I2">
        <f>_xlfn.XLOOKUP(H2,'Base Mercado'!C:C,'Base Mercado'!A:A)</f>
        <v>1</v>
      </c>
      <c r="J2" s="8">
        <v>3.99</v>
      </c>
      <c r="K2" s="8">
        <v>3.89</v>
      </c>
      <c r="L2" s="8">
        <f>IF(AND(K2&lt;&gt;"",K2&lt;J2),K2,J2)</f>
        <v>3.89</v>
      </c>
      <c r="M2" s="13"/>
    </row>
    <row r="3" spans="1:13" x14ac:dyDescent="0.3">
      <c r="A3" s="3">
        <v>1</v>
      </c>
      <c r="B3" t="str">
        <f>_xlfn.XLOOKUP(A3,'Produtos &amp; Marcas'!A:A,'Produtos &amp; Marcas'!B:B)</f>
        <v>Açúcar | Caravelas | 1 | Kg</v>
      </c>
      <c r="C3" t="str">
        <f>_xlfn.XLOOKUP(B3,'Produtos &amp; Marcas'!B:B,'Produtos &amp; Marcas'!C:C)</f>
        <v>Açúcar</v>
      </c>
      <c r="D3" t="str">
        <f>_xlfn.XLOOKUP(B3,'Produtos &amp; Marcas'!B:B,'Produtos &amp; Marcas'!D:D)</f>
        <v>Kg</v>
      </c>
      <c r="E3" s="3">
        <f>_xlfn.XLOOKUP(B3,'Produtos &amp; Marcas'!B:B,'Produtos &amp; Marcas'!E:E)</f>
        <v>1</v>
      </c>
      <c r="F3" s="8">
        <f t="shared" si="0"/>
        <v>2.99</v>
      </c>
      <c r="G3" t="str">
        <f>_xlfn.XLOOKUP(B3,'Produtos &amp; Marcas'!B:B,'Produtos &amp; Marcas'!F:F)</f>
        <v>Caravelas</v>
      </c>
      <c r="H3" t="s">
        <v>27</v>
      </c>
      <c r="I3">
        <f>_xlfn.XLOOKUP(H3,'Base Mercado'!C:C,'Base Mercado'!A:A)</f>
        <v>2</v>
      </c>
      <c r="J3" s="8">
        <v>2.99</v>
      </c>
      <c r="L3" s="8">
        <f t="shared" ref="L3:L66" si="1">IF(AND(K3&lt;&gt;"",K3&lt;J3),K3,J3)</f>
        <v>2.99</v>
      </c>
      <c r="M3" s="13"/>
    </row>
    <row r="4" spans="1:13" x14ac:dyDescent="0.3">
      <c r="A4" s="3">
        <v>1</v>
      </c>
      <c r="B4" t="str">
        <f>_xlfn.XLOOKUP(A4,'Produtos &amp; Marcas'!A:A,'Produtos &amp; Marcas'!B:B)</f>
        <v>Açúcar | Caravelas | 1 | Kg</v>
      </c>
      <c r="C4" t="str">
        <f>_xlfn.XLOOKUP(B4,'Produtos &amp; Marcas'!B:B,'Produtos &amp; Marcas'!C:C)</f>
        <v>Açúcar</v>
      </c>
      <c r="D4" t="str">
        <f>_xlfn.XLOOKUP(B4,'Produtos &amp; Marcas'!B:B,'Produtos &amp; Marcas'!D:D)</f>
        <v>Kg</v>
      </c>
      <c r="E4" s="3">
        <f>_xlfn.XLOOKUP(B4,'Produtos &amp; Marcas'!B:B,'Produtos &amp; Marcas'!E:E)</f>
        <v>1</v>
      </c>
      <c r="F4" s="8">
        <f t="shared" si="0"/>
        <v>3.99</v>
      </c>
      <c r="G4" t="str">
        <f>_xlfn.XLOOKUP(B4,'Produtos &amp; Marcas'!B:B,'Produtos &amp; Marcas'!F:F)</f>
        <v>Caravelas</v>
      </c>
      <c r="H4" t="s">
        <v>26</v>
      </c>
      <c r="I4">
        <f>_xlfn.XLOOKUP(H4,'Base Mercado'!C:C,'Base Mercado'!A:A)</f>
        <v>3</v>
      </c>
      <c r="J4" s="8">
        <v>3.99</v>
      </c>
      <c r="K4" s="8">
        <v>3.8400000000000003</v>
      </c>
      <c r="L4" s="8">
        <f t="shared" si="1"/>
        <v>3.8400000000000003</v>
      </c>
      <c r="M4" s="13"/>
    </row>
    <row r="5" spans="1:13" x14ac:dyDescent="0.3">
      <c r="A5" s="3">
        <v>1</v>
      </c>
      <c r="B5" t="str">
        <f>_xlfn.XLOOKUP(A5,'Produtos &amp; Marcas'!A:A,'Produtos &amp; Marcas'!B:B)</f>
        <v>Açúcar | Caravelas | 1 | Kg</v>
      </c>
      <c r="C5" t="str">
        <f>_xlfn.XLOOKUP(B5,'Produtos &amp; Marcas'!B:B,'Produtos &amp; Marcas'!C:C)</f>
        <v>Açúcar</v>
      </c>
      <c r="D5" t="str">
        <f>_xlfn.XLOOKUP(B5,'Produtos &amp; Marcas'!B:B,'Produtos &amp; Marcas'!D:D)</f>
        <v>Kg</v>
      </c>
      <c r="E5" s="3">
        <f>_xlfn.XLOOKUP(B5,'Produtos &amp; Marcas'!B:B,'Produtos &amp; Marcas'!E:E)</f>
        <v>1</v>
      </c>
      <c r="F5" s="8">
        <f t="shared" si="0"/>
        <v>2.99</v>
      </c>
      <c r="G5" t="str">
        <f>_xlfn.XLOOKUP(B5,'Produtos &amp; Marcas'!B:B,'Produtos &amp; Marcas'!F:F)</f>
        <v>Caravelas</v>
      </c>
      <c r="H5" t="s">
        <v>28</v>
      </c>
      <c r="I5">
        <f>_xlfn.XLOOKUP(H5,'Base Mercado'!C:C,'Base Mercado'!A:A)</f>
        <v>4</v>
      </c>
      <c r="J5" s="8">
        <v>2.99</v>
      </c>
      <c r="L5" s="8">
        <f t="shared" si="1"/>
        <v>2.99</v>
      </c>
      <c r="M5" s="13"/>
    </row>
    <row r="6" spans="1:13" x14ac:dyDescent="0.3">
      <c r="A6" s="3">
        <v>1</v>
      </c>
      <c r="B6" t="str">
        <f>_xlfn.XLOOKUP(A6,'Produtos &amp; Marcas'!A:A,'Produtos &amp; Marcas'!B:B)</f>
        <v>Açúcar | Caravelas | 1 | Kg</v>
      </c>
      <c r="C6" t="str">
        <f>_xlfn.XLOOKUP(B6,'Produtos &amp; Marcas'!B:B,'Produtos &amp; Marcas'!C:C)</f>
        <v>Açúcar</v>
      </c>
      <c r="D6" t="str">
        <f>_xlfn.XLOOKUP(B6,'Produtos &amp; Marcas'!B:B,'Produtos &amp; Marcas'!D:D)</f>
        <v>Kg</v>
      </c>
      <c r="E6" s="3">
        <f>_xlfn.XLOOKUP(B6,'Produtos &amp; Marcas'!B:B,'Produtos &amp; Marcas'!E:E)</f>
        <v>1</v>
      </c>
      <c r="F6" s="8">
        <f t="shared" si="0"/>
        <v>4.99</v>
      </c>
      <c r="G6" t="str">
        <f>_xlfn.XLOOKUP(B6,'Produtos &amp; Marcas'!B:B,'Produtos &amp; Marcas'!F:F)</f>
        <v>Caravelas</v>
      </c>
      <c r="H6" t="s">
        <v>29</v>
      </c>
      <c r="I6">
        <f>_xlfn.XLOOKUP(H6,'Base Mercado'!C:C,'Base Mercado'!A:A)</f>
        <v>5</v>
      </c>
      <c r="J6" s="8">
        <v>4.99</v>
      </c>
      <c r="L6" s="8">
        <f t="shared" si="1"/>
        <v>4.99</v>
      </c>
      <c r="M6" s="13"/>
    </row>
    <row r="7" spans="1:13" x14ac:dyDescent="0.3">
      <c r="A7" s="3">
        <v>1</v>
      </c>
      <c r="B7" t="str">
        <f>_xlfn.XLOOKUP(A7,'Produtos &amp; Marcas'!A:A,'Produtos &amp; Marcas'!B:B)</f>
        <v>Açúcar | Caravelas | 1 | Kg</v>
      </c>
      <c r="C7" t="str">
        <f>_xlfn.XLOOKUP(B7,'Produtos &amp; Marcas'!B:B,'Produtos &amp; Marcas'!C:C)</f>
        <v>Açúcar</v>
      </c>
      <c r="D7" t="str">
        <f>_xlfn.XLOOKUP(B7,'Produtos &amp; Marcas'!B:B,'Produtos &amp; Marcas'!D:D)</f>
        <v>Kg</v>
      </c>
      <c r="E7" s="3">
        <f>_xlfn.XLOOKUP(B7,'Produtos &amp; Marcas'!B:B,'Produtos &amp; Marcas'!E:E)</f>
        <v>1</v>
      </c>
      <c r="F7" s="8">
        <f t="shared" si="0"/>
        <v>5.99</v>
      </c>
      <c r="G7" t="str">
        <f>_xlfn.XLOOKUP(B7,'Produtos &amp; Marcas'!B:B,'Produtos &amp; Marcas'!F:F)</f>
        <v>Caravelas</v>
      </c>
      <c r="H7" t="s">
        <v>30</v>
      </c>
      <c r="I7">
        <f>_xlfn.XLOOKUP(H7,'Base Mercado'!C:C,'Base Mercado'!A:A)</f>
        <v>6</v>
      </c>
      <c r="J7" s="8">
        <v>5.99</v>
      </c>
      <c r="L7" s="8">
        <f t="shared" si="1"/>
        <v>5.99</v>
      </c>
      <c r="M7" s="13"/>
    </row>
    <row r="8" spans="1:13" x14ac:dyDescent="0.3">
      <c r="A8" s="3">
        <v>1</v>
      </c>
      <c r="B8" t="str">
        <f>_xlfn.XLOOKUP(A8,'Produtos &amp; Marcas'!A:A,'Produtos &amp; Marcas'!B:B)</f>
        <v>Açúcar | Caravelas | 1 | Kg</v>
      </c>
      <c r="C8" t="str">
        <f>_xlfn.XLOOKUP(B8,'Produtos &amp; Marcas'!B:B,'Produtos &amp; Marcas'!C:C)</f>
        <v>Açúcar</v>
      </c>
      <c r="D8" t="str">
        <f>_xlfn.XLOOKUP(B8,'Produtos &amp; Marcas'!B:B,'Produtos &amp; Marcas'!D:D)</f>
        <v>Kg</v>
      </c>
      <c r="E8" s="3">
        <f>_xlfn.XLOOKUP(B8,'Produtos &amp; Marcas'!B:B,'Produtos &amp; Marcas'!E:E)</f>
        <v>1</v>
      </c>
      <c r="F8" s="8">
        <f t="shared" si="0"/>
        <v>2.99</v>
      </c>
      <c r="G8" t="str">
        <f>_xlfn.XLOOKUP(B8,'Produtos &amp; Marcas'!B:B,'Produtos &amp; Marcas'!F:F)</f>
        <v>Caravelas</v>
      </c>
      <c r="H8" t="s">
        <v>31</v>
      </c>
      <c r="I8">
        <f>_xlfn.XLOOKUP(H8,'Base Mercado'!C:C,'Base Mercado'!A:A)</f>
        <v>7</v>
      </c>
      <c r="J8" s="8">
        <v>2.99</v>
      </c>
      <c r="K8" s="8">
        <v>2.91</v>
      </c>
      <c r="L8" s="8">
        <f t="shared" si="1"/>
        <v>2.91</v>
      </c>
      <c r="M8" s="13"/>
    </row>
    <row r="9" spans="1:13" x14ac:dyDescent="0.3">
      <c r="A9" s="3">
        <v>3</v>
      </c>
      <c r="B9" t="str">
        <f>_xlfn.XLOOKUP(A9,'Produtos &amp; Marcas'!A:A,'Produtos &amp; Marcas'!B:B)</f>
        <v>Açúcar | Guarani | 1 | Kg</v>
      </c>
      <c r="C9" t="str">
        <f>_xlfn.XLOOKUP(B9,'Produtos &amp; Marcas'!B:B,'Produtos &amp; Marcas'!C:C)</f>
        <v>Açúcar</v>
      </c>
      <c r="D9" t="str">
        <f>_xlfn.XLOOKUP(B9,'Produtos &amp; Marcas'!B:B,'Produtos &amp; Marcas'!D:D)</f>
        <v>Kg</v>
      </c>
      <c r="E9" s="3">
        <f>_xlfn.XLOOKUP(B9,'Produtos &amp; Marcas'!B:B,'Produtos &amp; Marcas'!E:E)</f>
        <v>1</v>
      </c>
      <c r="F9" s="8">
        <f t="shared" si="0"/>
        <v>3.79</v>
      </c>
      <c r="G9" t="str">
        <f>_xlfn.XLOOKUP(B9,'Produtos &amp; Marcas'!B:B,'Produtos &amp; Marcas'!F:F)</f>
        <v>Guarani</v>
      </c>
      <c r="H9" t="s">
        <v>25</v>
      </c>
      <c r="I9">
        <f>_xlfn.XLOOKUP(H9,'Base Mercado'!C:C,'Base Mercado'!A:A)</f>
        <v>1</v>
      </c>
      <c r="J9" s="8">
        <v>3.79</v>
      </c>
      <c r="L9" s="8">
        <f t="shared" si="1"/>
        <v>3.79</v>
      </c>
      <c r="M9" s="13"/>
    </row>
    <row r="10" spans="1:13" x14ac:dyDescent="0.3">
      <c r="A10" s="3">
        <v>3</v>
      </c>
      <c r="B10" t="str">
        <f>_xlfn.XLOOKUP(A10,'Produtos &amp; Marcas'!A:A,'Produtos &amp; Marcas'!B:B)</f>
        <v>Açúcar | Guarani | 1 | Kg</v>
      </c>
      <c r="C10" t="str">
        <f>_xlfn.XLOOKUP(B10,'Produtos &amp; Marcas'!B:B,'Produtos &amp; Marcas'!C:C)</f>
        <v>Açúcar</v>
      </c>
      <c r="D10" t="str">
        <f>_xlfn.XLOOKUP(B10,'Produtos &amp; Marcas'!B:B,'Produtos &amp; Marcas'!D:D)</f>
        <v>Kg</v>
      </c>
      <c r="E10" s="3">
        <f>_xlfn.XLOOKUP(B10,'Produtos &amp; Marcas'!B:B,'Produtos &amp; Marcas'!E:E)</f>
        <v>1</v>
      </c>
      <c r="F10" s="8">
        <f t="shared" si="0"/>
        <v>5.79</v>
      </c>
      <c r="G10" t="str">
        <f>_xlfn.XLOOKUP(B10,'Produtos &amp; Marcas'!B:B,'Produtos &amp; Marcas'!F:F)</f>
        <v>Guarani</v>
      </c>
      <c r="H10" t="s">
        <v>27</v>
      </c>
      <c r="I10">
        <f>_xlfn.XLOOKUP(H10,'Base Mercado'!C:C,'Base Mercado'!A:A)</f>
        <v>2</v>
      </c>
      <c r="J10" s="8">
        <v>5.79</v>
      </c>
      <c r="L10" s="8">
        <f t="shared" si="1"/>
        <v>5.79</v>
      </c>
      <c r="M10" s="13"/>
    </row>
    <row r="11" spans="1:13" x14ac:dyDescent="0.3">
      <c r="A11" s="3">
        <v>3</v>
      </c>
      <c r="B11" t="str">
        <f>_xlfn.XLOOKUP(A11,'Produtos &amp; Marcas'!A:A,'Produtos &amp; Marcas'!B:B)</f>
        <v>Açúcar | Guarani | 1 | Kg</v>
      </c>
      <c r="C11" t="str">
        <f>_xlfn.XLOOKUP(B11,'Produtos &amp; Marcas'!B:B,'Produtos &amp; Marcas'!C:C)</f>
        <v>Açúcar</v>
      </c>
      <c r="D11" t="str">
        <f>_xlfn.XLOOKUP(B11,'Produtos &amp; Marcas'!B:B,'Produtos &amp; Marcas'!D:D)</f>
        <v>Kg</v>
      </c>
      <c r="E11" s="3">
        <f>_xlfn.XLOOKUP(B11,'Produtos &amp; Marcas'!B:B,'Produtos &amp; Marcas'!E:E)</f>
        <v>1</v>
      </c>
      <c r="F11" s="8">
        <f t="shared" si="0"/>
        <v>2.79</v>
      </c>
      <c r="G11" t="str">
        <f>_xlfn.XLOOKUP(B11,'Produtos &amp; Marcas'!B:B,'Produtos &amp; Marcas'!F:F)</f>
        <v>Guarani</v>
      </c>
      <c r="H11" t="s">
        <v>26</v>
      </c>
      <c r="I11">
        <f>_xlfn.XLOOKUP(H11,'Base Mercado'!C:C,'Base Mercado'!A:A)</f>
        <v>3</v>
      </c>
      <c r="J11" s="8">
        <v>2.79</v>
      </c>
      <c r="K11" s="8">
        <v>2.67</v>
      </c>
      <c r="L11" s="8">
        <f t="shared" si="1"/>
        <v>2.67</v>
      </c>
      <c r="M11" s="13"/>
    </row>
    <row r="12" spans="1:13" x14ac:dyDescent="0.3">
      <c r="A12" s="3">
        <v>3</v>
      </c>
      <c r="B12" t="str">
        <f>_xlfn.XLOOKUP(A12,'Produtos &amp; Marcas'!A:A,'Produtos &amp; Marcas'!B:B)</f>
        <v>Açúcar | Guarani | 1 | Kg</v>
      </c>
      <c r="C12" t="str">
        <f>_xlfn.XLOOKUP(B12,'Produtos &amp; Marcas'!B:B,'Produtos &amp; Marcas'!C:C)</f>
        <v>Açúcar</v>
      </c>
      <c r="D12" t="str">
        <f>_xlfn.XLOOKUP(B12,'Produtos &amp; Marcas'!B:B,'Produtos &amp; Marcas'!D:D)</f>
        <v>Kg</v>
      </c>
      <c r="E12" s="3">
        <f>_xlfn.XLOOKUP(B12,'Produtos &amp; Marcas'!B:B,'Produtos &amp; Marcas'!E:E)</f>
        <v>1</v>
      </c>
      <c r="F12" s="8">
        <f t="shared" si="0"/>
        <v>2.79</v>
      </c>
      <c r="G12" t="str">
        <f>_xlfn.XLOOKUP(B12,'Produtos &amp; Marcas'!B:B,'Produtos &amp; Marcas'!F:F)</f>
        <v>Guarani</v>
      </c>
      <c r="H12" t="s">
        <v>28</v>
      </c>
      <c r="I12">
        <f>_xlfn.XLOOKUP(H12,'Base Mercado'!C:C,'Base Mercado'!A:A)</f>
        <v>4</v>
      </c>
      <c r="J12" s="8">
        <v>2.79</v>
      </c>
      <c r="L12" s="8">
        <f t="shared" si="1"/>
        <v>2.79</v>
      </c>
      <c r="M12" s="13"/>
    </row>
    <row r="13" spans="1:13" x14ac:dyDescent="0.3">
      <c r="A13" s="3">
        <v>3</v>
      </c>
      <c r="B13" t="str">
        <f>_xlfn.XLOOKUP(A13,'Produtos &amp; Marcas'!A:A,'Produtos &amp; Marcas'!B:B)</f>
        <v>Açúcar | Guarani | 1 | Kg</v>
      </c>
      <c r="C13" t="str">
        <f>_xlfn.XLOOKUP(B13,'Produtos &amp; Marcas'!B:B,'Produtos &amp; Marcas'!C:C)</f>
        <v>Açúcar</v>
      </c>
      <c r="D13" t="str">
        <f>_xlfn.XLOOKUP(B13,'Produtos &amp; Marcas'!B:B,'Produtos &amp; Marcas'!D:D)</f>
        <v>Kg</v>
      </c>
      <c r="E13" s="3">
        <f>_xlfn.XLOOKUP(B13,'Produtos &amp; Marcas'!B:B,'Produtos &amp; Marcas'!E:E)</f>
        <v>1</v>
      </c>
      <c r="F13" s="8">
        <f t="shared" si="0"/>
        <v>2.79</v>
      </c>
      <c r="G13" t="str">
        <f>_xlfn.XLOOKUP(B13,'Produtos &amp; Marcas'!B:B,'Produtos &amp; Marcas'!F:F)</f>
        <v>Guarani</v>
      </c>
      <c r="H13" t="s">
        <v>29</v>
      </c>
      <c r="I13">
        <f>_xlfn.XLOOKUP(H13,'Base Mercado'!C:C,'Base Mercado'!A:A)</f>
        <v>5</v>
      </c>
      <c r="J13" s="8">
        <v>2.79</v>
      </c>
      <c r="K13" s="8">
        <v>2.59</v>
      </c>
      <c r="L13" s="8">
        <f t="shared" si="1"/>
        <v>2.59</v>
      </c>
      <c r="M13" s="13"/>
    </row>
    <row r="14" spans="1:13" x14ac:dyDescent="0.3">
      <c r="A14" s="3">
        <v>3</v>
      </c>
      <c r="B14" t="str">
        <f>_xlfn.XLOOKUP(A14,'Produtos &amp; Marcas'!A:A,'Produtos &amp; Marcas'!B:B)</f>
        <v>Açúcar | Guarani | 1 | Kg</v>
      </c>
      <c r="C14" t="str">
        <f>_xlfn.XLOOKUP(B14,'Produtos &amp; Marcas'!B:B,'Produtos &amp; Marcas'!C:C)</f>
        <v>Açúcar</v>
      </c>
      <c r="D14" t="str">
        <f>_xlfn.XLOOKUP(B14,'Produtos &amp; Marcas'!B:B,'Produtos &amp; Marcas'!D:D)</f>
        <v>Kg</v>
      </c>
      <c r="E14" s="3">
        <f>_xlfn.XLOOKUP(B14,'Produtos &amp; Marcas'!B:B,'Produtos &amp; Marcas'!E:E)</f>
        <v>1</v>
      </c>
      <c r="F14" s="8">
        <f t="shared" si="0"/>
        <v>4.79</v>
      </c>
      <c r="G14" t="str">
        <f>_xlfn.XLOOKUP(B14,'Produtos &amp; Marcas'!B:B,'Produtos &amp; Marcas'!F:F)</f>
        <v>Guarani</v>
      </c>
      <c r="H14" t="s">
        <v>30</v>
      </c>
      <c r="I14">
        <f>_xlfn.XLOOKUP(H14,'Base Mercado'!C:C,'Base Mercado'!A:A)</f>
        <v>6</v>
      </c>
      <c r="J14" s="8">
        <v>4.79</v>
      </c>
      <c r="K14" s="8">
        <v>4.54</v>
      </c>
      <c r="L14" s="8">
        <f t="shared" si="1"/>
        <v>4.54</v>
      </c>
      <c r="M14" s="13"/>
    </row>
    <row r="15" spans="1:13" x14ac:dyDescent="0.3">
      <c r="A15" s="3">
        <v>3</v>
      </c>
      <c r="B15" t="str">
        <f>_xlfn.XLOOKUP(A15,'Produtos &amp; Marcas'!A:A,'Produtos &amp; Marcas'!B:B)</f>
        <v>Açúcar | Guarani | 1 | Kg</v>
      </c>
      <c r="C15" t="str">
        <f>_xlfn.XLOOKUP(B15,'Produtos &amp; Marcas'!B:B,'Produtos &amp; Marcas'!C:C)</f>
        <v>Açúcar</v>
      </c>
      <c r="D15" t="str">
        <f>_xlfn.XLOOKUP(B15,'Produtos &amp; Marcas'!B:B,'Produtos &amp; Marcas'!D:D)</f>
        <v>Kg</v>
      </c>
      <c r="E15" s="3">
        <f>_xlfn.XLOOKUP(B15,'Produtos &amp; Marcas'!B:B,'Produtos &amp; Marcas'!E:E)</f>
        <v>1</v>
      </c>
      <c r="F15" s="8">
        <f t="shared" si="0"/>
        <v>3.79</v>
      </c>
      <c r="G15" t="str">
        <f>_xlfn.XLOOKUP(B15,'Produtos &amp; Marcas'!B:B,'Produtos &amp; Marcas'!F:F)</f>
        <v>Guarani</v>
      </c>
      <c r="H15" t="s">
        <v>31</v>
      </c>
      <c r="I15">
        <f>_xlfn.XLOOKUP(H15,'Base Mercado'!C:C,'Base Mercado'!A:A)</f>
        <v>7</v>
      </c>
      <c r="J15" s="8">
        <v>3.79</v>
      </c>
      <c r="K15" s="8">
        <v>3.69</v>
      </c>
      <c r="L15" s="8">
        <f t="shared" si="1"/>
        <v>3.69</v>
      </c>
      <c r="M15" s="13"/>
    </row>
    <row r="16" spans="1:13" x14ac:dyDescent="0.3">
      <c r="A16" s="3">
        <v>2</v>
      </c>
      <c r="B16" t="str">
        <f>_xlfn.XLOOKUP(A16,'Produtos &amp; Marcas'!A:A,'Produtos &amp; Marcas'!B:B)</f>
        <v>Açúcar | União | 1 | Kg</v>
      </c>
      <c r="C16" t="str">
        <f>_xlfn.XLOOKUP(B16,'Produtos &amp; Marcas'!B:B,'Produtos &amp; Marcas'!C:C)</f>
        <v>Açúcar</v>
      </c>
      <c r="D16" t="str">
        <f>_xlfn.XLOOKUP(B16,'Produtos &amp; Marcas'!B:B,'Produtos &amp; Marcas'!D:D)</f>
        <v>Kg</v>
      </c>
      <c r="E16" s="3">
        <f>_xlfn.XLOOKUP(B16,'Produtos &amp; Marcas'!B:B,'Produtos &amp; Marcas'!E:E)</f>
        <v>1</v>
      </c>
      <c r="F16" s="8">
        <f t="shared" si="0"/>
        <v>4.99</v>
      </c>
      <c r="G16" t="str">
        <f>_xlfn.XLOOKUP(B16,'Produtos &amp; Marcas'!B:B,'Produtos &amp; Marcas'!F:F)</f>
        <v>União</v>
      </c>
      <c r="H16" t="s">
        <v>25</v>
      </c>
      <c r="I16">
        <f>_xlfn.XLOOKUP(H16,'Base Mercado'!C:C,'Base Mercado'!A:A)</f>
        <v>1</v>
      </c>
      <c r="J16" s="8">
        <v>4.99</v>
      </c>
      <c r="K16" s="8">
        <v>4.83</v>
      </c>
      <c r="L16" s="8">
        <f t="shared" si="1"/>
        <v>4.83</v>
      </c>
      <c r="M16" s="13"/>
    </row>
    <row r="17" spans="1:13" x14ac:dyDescent="0.3">
      <c r="A17" s="3">
        <v>2</v>
      </c>
      <c r="B17" t="str">
        <f>_xlfn.XLOOKUP(A17,'Produtos &amp; Marcas'!A:A,'Produtos &amp; Marcas'!B:B)</f>
        <v>Açúcar | União | 1 | Kg</v>
      </c>
      <c r="C17" t="str">
        <f>_xlfn.XLOOKUP(B17,'Produtos &amp; Marcas'!B:B,'Produtos &amp; Marcas'!C:C)</f>
        <v>Açúcar</v>
      </c>
      <c r="D17" t="str">
        <f>_xlfn.XLOOKUP(B17,'Produtos &amp; Marcas'!B:B,'Produtos &amp; Marcas'!D:D)</f>
        <v>Kg</v>
      </c>
      <c r="E17" s="3">
        <f>_xlfn.XLOOKUP(B17,'Produtos &amp; Marcas'!B:B,'Produtos &amp; Marcas'!E:E)</f>
        <v>1</v>
      </c>
      <c r="F17" s="8">
        <f t="shared" si="0"/>
        <v>4.99</v>
      </c>
      <c r="G17" t="str">
        <f>_xlfn.XLOOKUP(B17,'Produtos &amp; Marcas'!B:B,'Produtos &amp; Marcas'!F:F)</f>
        <v>União</v>
      </c>
      <c r="H17" t="s">
        <v>27</v>
      </c>
      <c r="I17">
        <f>_xlfn.XLOOKUP(H17,'Base Mercado'!C:C,'Base Mercado'!A:A)</f>
        <v>2</v>
      </c>
      <c r="J17" s="8">
        <v>4.99</v>
      </c>
      <c r="L17" s="8">
        <f t="shared" si="1"/>
        <v>4.99</v>
      </c>
      <c r="M17" s="13"/>
    </row>
    <row r="18" spans="1:13" x14ac:dyDescent="0.3">
      <c r="A18" s="3">
        <v>2</v>
      </c>
      <c r="B18" t="str">
        <f>_xlfn.XLOOKUP(A18,'Produtos &amp; Marcas'!A:A,'Produtos &amp; Marcas'!B:B)</f>
        <v>Açúcar | União | 1 | Kg</v>
      </c>
      <c r="C18" t="str">
        <f>_xlfn.XLOOKUP(B18,'Produtos &amp; Marcas'!B:B,'Produtos &amp; Marcas'!C:C)</f>
        <v>Açúcar</v>
      </c>
      <c r="D18" t="str">
        <f>_xlfn.XLOOKUP(B18,'Produtos &amp; Marcas'!B:B,'Produtos &amp; Marcas'!D:D)</f>
        <v>Kg</v>
      </c>
      <c r="E18" s="3">
        <f>_xlfn.XLOOKUP(B18,'Produtos &amp; Marcas'!B:B,'Produtos &amp; Marcas'!E:E)</f>
        <v>1</v>
      </c>
      <c r="F18" s="8">
        <f t="shared" si="0"/>
        <v>4.99</v>
      </c>
      <c r="G18" t="str">
        <f>_xlfn.XLOOKUP(B18,'Produtos &amp; Marcas'!B:B,'Produtos &amp; Marcas'!F:F)</f>
        <v>União</v>
      </c>
      <c r="H18" t="s">
        <v>26</v>
      </c>
      <c r="I18">
        <f>_xlfn.XLOOKUP(H18,'Base Mercado'!C:C,'Base Mercado'!A:A)</f>
        <v>3</v>
      </c>
      <c r="J18" s="8">
        <v>4.99</v>
      </c>
      <c r="L18" s="8">
        <f t="shared" si="1"/>
        <v>4.99</v>
      </c>
      <c r="M18" s="13"/>
    </row>
    <row r="19" spans="1:13" x14ac:dyDescent="0.3">
      <c r="A19" s="3">
        <v>2</v>
      </c>
      <c r="B19" t="str">
        <f>_xlfn.XLOOKUP(A19,'Produtos &amp; Marcas'!A:A,'Produtos &amp; Marcas'!B:B)</f>
        <v>Açúcar | União | 1 | Kg</v>
      </c>
      <c r="C19" t="str">
        <f>_xlfn.XLOOKUP(B19,'Produtos &amp; Marcas'!B:B,'Produtos &amp; Marcas'!C:C)</f>
        <v>Açúcar</v>
      </c>
      <c r="D19" t="str">
        <f>_xlfn.XLOOKUP(B19,'Produtos &amp; Marcas'!B:B,'Produtos &amp; Marcas'!D:D)</f>
        <v>Kg</v>
      </c>
      <c r="E19" s="3">
        <f>_xlfn.XLOOKUP(B19,'Produtos &amp; Marcas'!B:B,'Produtos &amp; Marcas'!E:E)</f>
        <v>1</v>
      </c>
      <c r="F19" s="8">
        <f t="shared" si="0"/>
        <v>6.99</v>
      </c>
      <c r="G19" t="str">
        <f>_xlfn.XLOOKUP(B19,'Produtos &amp; Marcas'!B:B,'Produtos &amp; Marcas'!F:F)</f>
        <v>União</v>
      </c>
      <c r="H19" t="s">
        <v>28</v>
      </c>
      <c r="I19">
        <f>_xlfn.XLOOKUP(H19,'Base Mercado'!C:C,'Base Mercado'!A:A)</f>
        <v>4</v>
      </c>
      <c r="J19" s="8">
        <v>6.99</v>
      </c>
      <c r="L19" s="8">
        <f t="shared" si="1"/>
        <v>6.99</v>
      </c>
      <c r="M19" s="13"/>
    </row>
    <row r="20" spans="1:13" x14ac:dyDescent="0.3">
      <c r="A20" s="3">
        <v>2</v>
      </c>
      <c r="B20" t="str">
        <f>_xlfn.XLOOKUP(A20,'Produtos &amp; Marcas'!A:A,'Produtos &amp; Marcas'!B:B)</f>
        <v>Açúcar | União | 1 | Kg</v>
      </c>
      <c r="C20" t="str">
        <f>_xlfn.XLOOKUP(B20,'Produtos &amp; Marcas'!B:B,'Produtos &amp; Marcas'!C:C)</f>
        <v>Açúcar</v>
      </c>
      <c r="D20" t="str">
        <f>_xlfn.XLOOKUP(B20,'Produtos &amp; Marcas'!B:B,'Produtos &amp; Marcas'!D:D)</f>
        <v>Kg</v>
      </c>
      <c r="E20" s="3">
        <f>_xlfn.XLOOKUP(B20,'Produtos &amp; Marcas'!B:B,'Produtos &amp; Marcas'!E:E)</f>
        <v>1</v>
      </c>
      <c r="F20" s="8">
        <f t="shared" si="0"/>
        <v>3.99</v>
      </c>
      <c r="G20" t="str">
        <f>_xlfn.XLOOKUP(B20,'Produtos &amp; Marcas'!B:B,'Produtos &amp; Marcas'!F:F)</f>
        <v>União</v>
      </c>
      <c r="H20" t="s">
        <v>29</v>
      </c>
      <c r="I20">
        <f>_xlfn.XLOOKUP(H20,'Base Mercado'!C:C,'Base Mercado'!A:A)</f>
        <v>5</v>
      </c>
      <c r="J20" s="8">
        <v>3.99</v>
      </c>
      <c r="K20" s="8">
        <v>3.8600000000000003</v>
      </c>
      <c r="L20" s="8">
        <f t="shared" si="1"/>
        <v>3.8600000000000003</v>
      </c>
      <c r="M20" s="13"/>
    </row>
    <row r="21" spans="1:13" x14ac:dyDescent="0.3">
      <c r="A21" s="3">
        <v>2</v>
      </c>
      <c r="B21" t="str">
        <f>_xlfn.XLOOKUP(A21,'Produtos &amp; Marcas'!A:A,'Produtos &amp; Marcas'!B:B)</f>
        <v>Açúcar | União | 1 | Kg</v>
      </c>
      <c r="C21" t="str">
        <f>_xlfn.XLOOKUP(B21,'Produtos &amp; Marcas'!B:B,'Produtos &amp; Marcas'!C:C)</f>
        <v>Açúcar</v>
      </c>
      <c r="D21" t="str">
        <f>_xlfn.XLOOKUP(B21,'Produtos &amp; Marcas'!B:B,'Produtos &amp; Marcas'!D:D)</f>
        <v>Kg</v>
      </c>
      <c r="E21" s="3">
        <f>_xlfn.XLOOKUP(B21,'Produtos &amp; Marcas'!B:B,'Produtos &amp; Marcas'!E:E)</f>
        <v>1</v>
      </c>
      <c r="F21" s="8">
        <f t="shared" si="0"/>
        <v>3.99</v>
      </c>
      <c r="G21" t="str">
        <f>_xlfn.XLOOKUP(B21,'Produtos &amp; Marcas'!B:B,'Produtos &amp; Marcas'!F:F)</f>
        <v>União</v>
      </c>
      <c r="H21" t="s">
        <v>30</v>
      </c>
      <c r="I21">
        <f>_xlfn.XLOOKUP(H21,'Base Mercado'!C:C,'Base Mercado'!A:A)</f>
        <v>6</v>
      </c>
      <c r="J21" s="8">
        <v>3.99</v>
      </c>
      <c r="K21" s="8">
        <v>3.89</v>
      </c>
      <c r="L21" s="8">
        <f t="shared" si="1"/>
        <v>3.89</v>
      </c>
      <c r="M21" s="13"/>
    </row>
    <row r="22" spans="1:13" x14ac:dyDescent="0.3">
      <c r="A22" s="3">
        <v>2</v>
      </c>
      <c r="B22" t="str">
        <f>_xlfn.XLOOKUP(A22,'Produtos &amp; Marcas'!A:A,'Produtos &amp; Marcas'!B:B)</f>
        <v>Açúcar | União | 1 | Kg</v>
      </c>
      <c r="C22" t="str">
        <f>_xlfn.XLOOKUP(B22,'Produtos &amp; Marcas'!B:B,'Produtos &amp; Marcas'!C:C)</f>
        <v>Açúcar</v>
      </c>
      <c r="D22" t="str">
        <f>_xlfn.XLOOKUP(B22,'Produtos &amp; Marcas'!B:B,'Produtos &amp; Marcas'!D:D)</f>
        <v>Kg</v>
      </c>
      <c r="E22" s="3">
        <f>_xlfn.XLOOKUP(B22,'Produtos &amp; Marcas'!B:B,'Produtos &amp; Marcas'!E:E)</f>
        <v>1</v>
      </c>
      <c r="F22" s="8">
        <f t="shared" si="0"/>
        <v>5.99</v>
      </c>
      <c r="G22" t="str">
        <f>_xlfn.XLOOKUP(B22,'Produtos &amp; Marcas'!B:B,'Produtos &amp; Marcas'!F:F)</f>
        <v>União</v>
      </c>
      <c r="H22" t="s">
        <v>31</v>
      </c>
      <c r="I22">
        <f>_xlfn.XLOOKUP(H22,'Base Mercado'!C:C,'Base Mercado'!A:A)</f>
        <v>7</v>
      </c>
      <c r="J22" s="8">
        <v>5.99</v>
      </c>
      <c r="K22" s="8">
        <v>5.8900000000000006</v>
      </c>
      <c r="L22" s="8">
        <f t="shared" si="1"/>
        <v>5.8900000000000006</v>
      </c>
      <c r="M22" s="13"/>
    </row>
    <row r="23" spans="1:13" x14ac:dyDescent="0.3">
      <c r="A23" s="3">
        <v>4</v>
      </c>
      <c r="B23" t="str">
        <f>_xlfn.XLOOKUP(A23,'Produtos &amp; Marcas'!A:A,'Produtos &amp; Marcas'!B:B)</f>
        <v>Arroz | Namorado | 1 | Kg</v>
      </c>
      <c r="C23" t="str">
        <f>_xlfn.XLOOKUP(B23,'Produtos &amp; Marcas'!B:B,'Produtos &amp; Marcas'!C:C)</f>
        <v>Arroz</v>
      </c>
      <c r="D23" t="str">
        <f>_xlfn.XLOOKUP(B23,'Produtos &amp; Marcas'!B:B,'Produtos &amp; Marcas'!D:D)</f>
        <v>Kg</v>
      </c>
      <c r="E23" s="3">
        <f>_xlfn.XLOOKUP(B23,'Produtos &amp; Marcas'!B:B,'Produtos &amp; Marcas'!E:E)</f>
        <v>1</v>
      </c>
      <c r="F23" s="8">
        <f t="shared" si="0"/>
        <v>6.98</v>
      </c>
      <c r="G23" t="str">
        <f>_xlfn.XLOOKUP(B23,'Produtos &amp; Marcas'!B:B,'Produtos &amp; Marcas'!F:F)</f>
        <v>Namorado</v>
      </c>
      <c r="H23" t="s">
        <v>25</v>
      </c>
      <c r="I23">
        <f>_xlfn.XLOOKUP(H23,'Base Mercado'!C:C,'Base Mercado'!A:A)</f>
        <v>1</v>
      </c>
      <c r="J23" s="8">
        <v>6.98</v>
      </c>
      <c r="K23" s="8">
        <v>6.83</v>
      </c>
      <c r="L23" s="8">
        <f t="shared" si="1"/>
        <v>6.83</v>
      </c>
      <c r="M23" s="13"/>
    </row>
    <row r="24" spans="1:13" x14ac:dyDescent="0.3">
      <c r="A24" s="3">
        <v>4</v>
      </c>
      <c r="B24" t="str">
        <f>_xlfn.XLOOKUP(A24,'Produtos &amp; Marcas'!A:A,'Produtos &amp; Marcas'!B:B)</f>
        <v>Arroz | Namorado | 1 | Kg</v>
      </c>
      <c r="C24" t="str">
        <f>_xlfn.XLOOKUP(B24,'Produtos &amp; Marcas'!B:B,'Produtos &amp; Marcas'!C:C)</f>
        <v>Arroz</v>
      </c>
      <c r="D24" t="str">
        <f>_xlfn.XLOOKUP(B24,'Produtos &amp; Marcas'!B:B,'Produtos &amp; Marcas'!D:D)</f>
        <v>Kg</v>
      </c>
      <c r="E24" s="3">
        <f>_xlfn.XLOOKUP(B24,'Produtos &amp; Marcas'!B:B,'Produtos &amp; Marcas'!E:E)</f>
        <v>1</v>
      </c>
      <c r="F24" s="8">
        <f t="shared" si="0"/>
        <v>7.98</v>
      </c>
      <c r="G24" t="str">
        <f>_xlfn.XLOOKUP(B24,'Produtos &amp; Marcas'!B:B,'Produtos &amp; Marcas'!F:F)</f>
        <v>Namorado</v>
      </c>
      <c r="H24" t="s">
        <v>27</v>
      </c>
      <c r="I24">
        <f>_xlfn.XLOOKUP(H24,'Base Mercado'!C:C,'Base Mercado'!A:A)</f>
        <v>2</v>
      </c>
      <c r="J24" s="8">
        <v>7.98</v>
      </c>
      <c r="K24" s="8">
        <v>7.83</v>
      </c>
      <c r="L24" s="8">
        <f t="shared" si="1"/>
        <v>7.83</v>
      </c>
      <c r="M24" s="13"/>
    </row>
    <row r="25" spans="1:13" x14ac:dyDescent="0.3">
      <c r="A25" s="3">
        <v>4</v>
      </c>
      <c r="B25" t="str">
        <f>_xlfn.XLOOKUP(A25,'Produtos &amp; Marcas'!A:A,'Produtos &amp; Marcas'!B:B)</f>
        <v>Arroz | Namorado | 1 | Kg</v>
      </c>
      <c r="C25" t="str">
        <f>_xlfn.XLOOKUP(B25,'Produtos &amp; Marcas'!B:B,'Produtos &amp; Marcas'!C:C)</f>
        <v>Arroz</v>
      </c>
      <c r="D25" t="str">
        <f>_xlfn.XLOOKUP(B25,'Produtos &amp; Marcas'!B:B,'Produtos &amp; Marcas'!D:D)</f>
        <v>Kg</v>
      </c>
      <c r="E25" s="3">
        <f>_xlfn.XLOOKUP(B25,'Produtos &amp; Marcas'!B:B,'Produtos &amp; Marcas'!E:E)</f>
        <v>1</v>
      </c>
      <c r="F25" s="8">
        <f t="shared" si="0"/>
        <v>5.98</v>
      </c>
      <c r="G25" t="str">
        <f>_xlfn.XLOOKUP(B25,'Produtos &amp; Marcas'!B:B,'Produtos &amp; Marcas'!F:F)</f>
        <v>Namorado</v>
      </c>
      <c r="H25" t="s">
        <v>26</v>
      </c>
      <c r="I25">
        <f>_xlfn.XLOOKUP(H25,'Base Mercado'!C:C,'Base Mercado'!A:A)</f>
        <v>3</v>
      </c>
      <c r="J25" s="8">
        <v>5.98</v>
      </c>
      <c r="K25" s="8">
        <v>5.83</v>
      </c>
      <c r="L25" s="8">
        <f t="shared" si="1"/>
        <v>5.83</v>
      </c>
      <c r="M25" s="13"/>
    </row>
    <row r="26" spans="1:13" x14ac:dyDescent="0.3">
      <c r="A26" s="3">
        <v>4</v>
      </c>
      <c r="B26" t="str">
        <f>_xlfn.XLOOKUP(A26,'Produtos &amp; Marcas'!A:A,'Produtos &amp; Marcas'!B:B)</f>
        <v>Arroz | Namorado | 1 | Kg</v>
      </c>
      <c r="C26" t="str">
        <f>_xlfn.XLOOKUP(B26,'Produtos &amp; Marcas'!B:B,'Produtos &amp; Marcas'!C:C)</f>
        <v>Arroz</v>
      </c>
      <c r="D26" t="str">
        <f>_xlfn.XLOOKUP(B26,'Produtos &amp; Marcas'!B:B,'Produtos &amp; Marcas'!D:D)</f>
        <v>Kg</v>
      </c>
      <c r="E26" s="3">
        <f>_xlfn.XLOOKUP(B26,'Produtos &amp; Marcas'!B:B,'Produtos &amp; Marcas'!E:E)</f>
        <v>1</v>
      </c>
      <c r="F26" s="8">
        <f t="shared" si="0"/>
        <v>5.98</v>
      </c>
      <c r="G26" t="str">
        <f>_xlfn.XLOOKUP(B26,'Produtos &amp; Marcas'!B:B,'Produtos &amp; Marcas'!F:F)</f>
        <v>Namorado</v>
      </c>
      <c r="H26" t="s">
        <v>28</v>
      </c>
      <c r="I26">
        <f>_xlfn.XLOOKUP(H26,'Base Mercado'!C:C,'Base Mercado'!A:A)</f>
        <v>4</v>
      </c>
      <c r="J26" s="8">
        <v>5.98</v>
      </c>
      <c r="K26" s="8">
        <v>5.83</v>
      </c>
      <c r="L26" s="8">
        <f t="shared" si="1"/>
        <v>5.83</v>
      </c>
      <c r="M26" s="13"/>
    </row>
    <row r="27" spans="1:13" x14ac:dyDescent="0.3">
      <c r="A27" s="3">
        <v>4</v>
      </c>
      <c r="B27" t="str">
        <f>_xlfn.XLOOKUP(A27,'Produtos &amp; Marcas'!A:A,'Produtos &amp; Marcas'!B:B)</f>
        <v>Arroz | Namorado | 1 | Kg</v>
      </c>
      <c r="C27" t="str">
        <f>_xlfn.XLOOKUP(B27,'Produtos &amp; Marcas'!B:B,'Produtos &amp; Marcas'!C:C)</f>
        <v>Arroz</v>
      </c>
      <c r="D27" t="str">
        <f>_xlfn.XLOOKUP(B27,'Produtos &amp; Marcas'!B:B,'Produtos &amp; Marcas'!D:D)</f>
        <v>Kg</v>
      </c>
      <c r="E27" s="3">
        <f>_xlfn.XLOOKUP(B27,'Produtos &amp; Marcas'!B:B,'Produtos &amp; Marcas'!E:E)</f>
        <v>1</v>
      </c>
      <c r="F27" s="8">
        <f t="shared" si="0"/>
        <v>6.98</v>
      </c>
      <c r="G27" t="str">
        <f>_xlfn.XLOOKUP(B27,'Produtos &amp; Marcas'!B:B,'Produtos &amp; Marcas'!F:F)</f>
        <v>Namorado</v>
      </c>
      <c r="H27" t="s">
        <v>29</v>
      </c>
      <c r="I27">
        <f>_xlfn.XLOOKUP(H27,'Base Mercado'!C:C,'Base Mercado'!A:A)</f>
        <v>5</v>
      </c>
      <c r="J27" s="8">
        <v>6.98</v>
      </c>
      <c r="L27" s="8">
        <f t="shared" si="1"/>
        <v>6.98</v>
      </c>
      <c r="M27" s="13"/>
    </row>
    <row r="28" spans="1:13" x14ac:dyDescent="0.3">
      <c r="A28" s="3">
        <v>4</v>
      </c>
      <c r="B28" t="str">
        <f>_xlfn.XLOOKUP(A28,'Produtos &amp; Marcas'!A:A,'Produtos &amp; Marcas'!B:B)</f>
        <v>Arroz | Namorado | 1 | Kg</v>
      </c>
      <c r="C28" t="str">
        <f>_xlfn.XLOOKUP(B28,'Produtos &amp; Marcas'!B:B,'Produtos &amp; Marcas'!C:C)</f>
        <v>Arroz</v>
      </c>
      <c r="D28" t="str">
        <f>_xlfn.XLOOKUP(B28,'Produtos &amp; Marcas'!B:B,'Produtos &amp; Marcas'!D:D)</f>
        <v>Kg</v>
      </c>
      <c r="E28" s="3">
        <f>_xlfn.XLOOKUP(B28,'Produtos &amp; Marcas'!B:B,'Produtos &amp; Marcas'!E:E)</f>
        <v>1</v>
      </c>
      <c r="F28" s="8">
        <f t="shared" si="0"/>
        <v>8.98</v>
      </c>
      <c r="G28" t="str">
        <f>_xlfn.XLOOKUP(B28,'Produtos &amp; Marcas'!B:B,'Produtos &amp; Marcas'!F:F)</f>
        <v>Namorado</v>
      </c>
      <c r="H28" t="s">
        <v>30</v>
      </c>
      <c r="I28">
        <f>_xlfn.XLOOKUP(H28,'Base Mercado'!C:C,'Base Mercado'!A:A)</f>
        <v>6</v>
      </c>
      <c r="J28" s="8">
        <v>8.98</v>
      </c>
      <c r="L28" s="8">
        <f t="shared" si="1"/>
        <v>8.98</v>
      </c>
      <c r="M28" s="13"/>
    </row>
    <row r="29" spans="1:13" x14ac:dyDescent="0.3">
      <c r="A29" s="3">
        <v>4</v>
      </c>
      <c r="B29" t="str">
        <f>_xlfn.XLOOKUP(A29,'Produtos &amp; Marcas'!A:A,'Produtos &amp; Marcas'!B:B)</f>
        <v>Arroz | Namorado | 1 | Kg</v>
      </c>
      <c r="C29" t="str">
        <f>_xlfn.XLOOKUP(B29,'Produtos &amp; Marcas'!B:B,'Produtos &amp; Marcas'!C:C)</f>
        <v>Arroz</v>
      </c>
      <c r="D29" t="str">
        <f>_xlfn.XLOOKUP(B29,'Produtos &amp; Marcas'!B:B,'Produtos &amp; Marcas'!D:D)</f>
        <v>Kg</v>
      </c>
      <c r="E29" s="3">
        <f>_xlfn.XLOOKUP(B29,'Produtos &amp; Marcas'!B:B,'Produtos &amp; Marcas'!E:E)</f>
        <v>1</v>
      </c>
      <c r="F29" s="8">
        <f t="shared" si="0"/>
        <v>6.98</v>
      </c>
      <c r="G29" t="str">
        <f>_xlfn.XLOOKUP(B29,'Produtos &amp; Marcas'!B:B,'Produtos &amp; Marcas'!F:F)</f>
        <v>Namorado</v>
      </c>
      <c r="H29" t="s">
        <v>31</v>
      </c>
      <c r="I29">
        <f>_xlfn.XLOOKUP(H29,'Base Mercado'!C:C,'Base Mercado'!A:A)</f>
        <v>7</v>
      </c>
      <c r="J29" s="8">
        <v>6.98</v>
      </c>
      <c r="L29" s="8">
        <f t="shared" si="1"/>
        <v>6.98</v>
      </c>
      <c r="M29" s="13"/>
    </row>
    <row r="30" spans="1:13" x14ac:dyDescent="0.3">
      <c r="A30" s="3">
        <v>6</v>
      </c>
      <c r="B30" t="str">
        <f>_xlfn.XLOOKUP(A30,'Produtos &amp; Marcas'!A:A,'Produtos &amp; Marcas'!B:B)</f>
        <v>Arroz | Prato Fino | 1 | Kg</v>
      </c>
      <c r="C30" t="str">
        <f>_xlfn.XLOOKUP(B30,'Produtos &amp; Marcas'!B:B,'Produtos &amp; Marcas'!C:C)</f>
        <v>Arroz</v>
      </c>
      <c r="D30" t="str">
        <f>_xlfn.XLOOKUP(B30,'Produtos &amp; Marcas'!B:B,'Produtos &amp; Marcas'!D:D)</f>
        <v>Kg</v>
      </c>
      <c r="E30" s="3">
        <f>_xlfn.XLOOKUP(B30,'Produtos &amp; Marcas'!B:B,'Produtos &amp; Marcas'!E:E)</f>
        <v>1</v>
      </c>
      <c r="F30" s="8">
        <f t="shared" si="0"/>
        <v>5.99</v>
      </c>
      <c r="G30" t="str">
        <f>_xlfn.XLOOKUP(B30,'Produtos &amp; Marcas'!B:B,'Produtos &amp; Marcas'!F:F)</f>
        <v>Prato Fino</v>
      </c>
      <c r="H30" t="s">
        <v>25</v>
      </c>
      <c r="I30">
        <f>_xlfn.XLOOKUP(H30,'Base Mercado'!C:C,'Base Mercado'!A:A)</f>
        <v>1</v>
      </c>
      <c r="J30" s="8">
        <v>5.99</v>
      </c>
      <c r="L30" s="8">
        <f t="shared" si="1"/>
        <v>5.99</v>
      </c>
      <c r="M30" s="13"/>
    </row>
    <row r="31" spans="1:13" x14ac:dyDescent="0.3">
      <c r="A31" s="3">
        <v>6</v>
      </c>
      <c r="B31" t="str">
        <f>_xlfn.XLOOKUP(A31,'Produtos &amp; Marcas'!A:A,'Produtos &amp; Marcas'!B:B)</f>
        <v>Arroz | Prato Fino | 1 | Kg</v>
      </c>
      <c r="C31" t="str">
        <f>_xlfn.XLOOKUP(B31,'Produtos &amp; Marcas'!B:B,'Produtos &amp; Marcas'!C:C)</f>
        <v>Arroz</v>
      </c>
      <c r="D31" t="str">
        <f>_xlfn.XLOOKUP(B31,'Produtos &amp; Marcas'!B:B,'Produtos &amp; Marcas'!D:D)</f>
        <v>Kg</v>
      </c>
      <c r="E31" s="3">
        <f>_xlfn.XLOOKUP(B31,'Produtos &amp; Marcas'!B:B,'Produtos &amp; Marcas'!E:E)</f>
        <v>1</v>
      </c>
      <c r="F31" s="8">
        <f t="shared" si="0"/>
        <v>5.99</v>
      </c>
      <c r="G31" t="str">
        <f>_xlfn.XLOOKUP(B31,'Produtos &amp; Marcas'!B:B,'Produtos &amp; Marcas'!F:F)</f>
        <v>Prato Fino</v>
      </c>
      <c r="H31" t="s">
        <v>27</v>
      </c>
      <c r="I31">
        <f>_xlfn.XLOOKUP(H31,'Base Mercado'!C:C,'Base Mercado'!A:A)</f>
        <v>2</v>
      </c>
      <c r="J31" s="8">
        <v>5.99</v>
      </c>
      <c r="L31" s="8">
        <f t="shared" si="1"/>
        <v>5.99</v>
      </c>
      <c r="M31" s="13"/>
    </row>
    <row r="32" spans="1:13" x14ac:dyDescent="0.3">
      <c r="A32" s="3">
        <v>6</v>
      </c>
      <c r="B32" t="str">
        <f>_xlfn.XLOOKUP(A32,'Produtos &amp; Marcas'!A:A,'Produtos &amp; Marcas'!B:B)</f>
        <v>Arroz | Prato Fino | 1 | Kg</v>
      </c>
      <c r="C32" t="str">
        <f>_xlfn.XLOOKUP(B32,'Produtos &amp; Marcas'!B:B,'Produtos &amp; Marcas'!C:C)</f>
        <v>Arroz</v>
      </c>
      <c r="D32" t="str">
        <f>_xlfn.XLOOKUP(B32,'Produtos &amp; Marcas'!B:B,'Produtos &amp; Marcas'!D:D)</f>
        <v>Kg</v>
      </c>
      <c r="E32" s="3">
        <f>_xlfn.XLOOKUP(B32,'Produtos &amp; Marcas'!B:B,'Produtos &amp; Marcas'!E:E)</f>
        <v>1</v>
      </c>
      <c r="F32" s="8">
        <f t="shared" si="0"/>
        <v>5.99</v>
      </c>
      <c r="G32" t="str">
        <f>_xlfn.XLOOKUP(B32,'Produtos &amp; Marcas'!B:B,'Produtos &amp; Marcas'!F:F)</f>
        <v>Prato Fino</v>
      </c>
      <c r="H32" t="s">
        <v>26</v>
      </c>
      <c r="I32">
        <f>_xlfn.XLOOKUP(H32,'Base Mercado'!C:C,'Base Mercado'!A:A)</f>
        <v>3</v>
      </c>
      <c r="J32" s="8">
        <v>5.99</v>
      </c>
      <c r="L32" s="8">
        <f t="shared" si="1"/>
        <v>5.99</v>
      </c>
      <c r="M32" s="13"/>
    </row>
    <row r="33" spans="1:13" x14ac:dyDescent="0.3">
      <c r="A33" s="3">
        <v>6</v>
      </c>
      <c r="B33" t="str">
        <f>_xlfn.XLOOKUP(A33,'Produtos &amp; Marcas'!A:A,'Produtos &amp; Marcas'!B:B)</f>
        <v>Arroz | Prato Fino | 1 | Kg</v>
      </c>
      <c r="C33" t="str">
        <f>_xlfn.XLOOKUP(B33,'Produtos &amp; Marcas'!B:B,'Produtos &amp; Marcas'!C:C)</f>
        <v>Arroz</v>
      </c>
      <c r="D33" t="str">
        <f>_xlfn.XLOOKUP(B33,'Produtos &amp; Marcas'!B:B,'Produtos &amp; Marcas'!D:D)</f>
        <v>Kg</v>
      </c>
      <c r="E33" s="3">
        <f>_xlfn.XLOOKUP(B33,'Produtos &amp; Marcas'!B:B,'Produtos &amp; Marcas'!E:E)</f>
        <v>1</v>
      </c>
      <c r="F33" s="8">
        <f t="shared" si="0"/>
        <v>6.99</v>
      </c>
      <c r="G33" t="str">
        <f>_xlfn.XLOOKUP(B33,'Produtos &amp; Marcas'!B:B,'Produtos &amp; Marcas'!F:F)</f>
        <v>Prato Fino</v>
      </c>
      <c r="H33" t="s">
        <v>28</v>
      </c>
      <c r="I33">
        <f>_xlfn.XLOOKUP(H33,'Base Mercado'!C:C,'Base Mercado'!A:A)</f>
        <v>4</v>
      </c>
      <c r="J33" s="8">
        <v>6.99</v>
      </c>
      <c r="L33" s="8">
        <f t="shared" si="1"/>
        <v>6.99</v>
      </c>
      <c r="M33" s="13"/>
    </row>
    <row r="34" spans="1:13" x14ac:dyDescent="0.3">
      <c r="A34" s="3">
        <v>6</v>
      </c>
      <c r="B34" t="str">
        <f>_xlfn.XLOOKUP(A34,'Produtos &amp; Marcas'!A:A,'Produtos &amp; Marcas'!B:B)</f>
        <v>Arroz | Prato Fino | 1 | Kg</v>
      </c>
      <c r="C34" t="str">
        <f>_xlfn.XLOOKUP(B34,'Produtos &amp; Marcas'!B:B,'Produtos &amp; Marcas'!C:C)</f>
        <v>Arroz</v>
      </c>
      <c r="D34" t="str">
        <f>_xlfn.XLOOKUP(B34,'Produtos &amp; Marcas'!B:B,'Produtos &amp; Marcas'!D:D)</f>
        <v>Kg</v>
      </c>
      <c r="E34" s="3">
        <f>_xlfn.XLOOKUP(B34,'Produtos &amp; Marcas'!B:B,'Produtos &amp; Marcas'!E:E)</f>
        <v>1</v>
      </c>
      <c r="F34" s="8">
        <f t="shared" si="0"/>
        <v>4.99</v>
      </c>
      <c r="G34" t="str">
        <f>_xlfn.XLOOKUP(B34,'Produtos &amp; Marcas'!B:B,'Produtos &amp; Marcas'!F:F)</f>
        <v>Prato Fino</v>
      </c>
      <c r="H34" t="s">
        <v>29</v>
      </c>
      <c r="I34">
        <f>_xlfn.XLOOKUP(H34,'Base Mercado'!C:C,'Base Mercado'!A:A)</f>
        <v>5</v>
      </c>
      <c r="J34" s="8">
        <v>4.99</v>
      </c>
      <c r="L34" s="8">
        <f t="shared" si="1"/>
        <v>4.99</v>
      </c>
      <c r="M34" s="13"/>
    </row>
    <row r="35" spans="1:13" x14ac:dyDescent="0.3">
      <c r="A35" s="3">
        <v>6</v>
      </c>
      <c r="B35" t="str">
        <f>_xlfn.XLOOKUP(A35,'Produtos &amp; Marcas'!A:A,'Produtos &amp; Marcas'!B:B)</f>
        <v>Arroz | Prato Fino | 1 | Kg</v>
      </c>
      <c r="C35" t="str">
        <f>_xlfn.XLOOKUP(B35,'Produtos &amp; Marcas'!B:B,'Produtos &amp; Marcas'!C:C)</f>
        <v>Arroz</v>
      </c>
      <c r="D35" t="str">
        <f>_xlfn.XLOOKUP(B35,'Produtos &amp; Marcas'!B:B,'Produtos &amp; Marcas'!D:D)</f>
        <v>Kg</v>
      </c>
      <c r="E35" s="3">
        <f>_xlfn.XLOOKUP(B35,'Produtos &amp; Marcas'!B:B,'Produtos &amp; Marcas'!E:E)</f>
        <v>1</v>
      </c>
      <c r="F35" s="8">
        <f t="shared" si="0"/>
        <v>4.99</v>
      </c>
      <c r="G35" t="str">
        <f>_xlfn.XLOOKUP(B35,'Produtos &amp; Marcas'!B:B,'Produtos &amp; Marcas'!F:F)</f>
        <v>Prato Fino</v>
      </c>
      <c r="H35" t="s">
        <v>30</v>
      </c>
      <c r="I35">
        <f>_xlfn.XLOOKUP(H35,'Base Mercado'!C:C,'Base Mercado'!A:A)</f>
        <v>6</v>
      </c>
      <c r="J35" s="8">
        <v>4.99</v>
      </c>
      <c r="L35" s="8">
        <f t="shared" si="1"/>
        <v>4.99</v>
      </c>
      <c r="M35" s="13"/>
    </row>
    <row r="36" spans="1:13" x14ac:dyDescent="0.3">
      <c r="A36" s="3">
        <v>6</v>
      </c>
      <c r="B36" t="str">
        <f>_xlfn.XLOOKUP(A36,'Produtos &amp; Marcas'!A:A,'Produtos &amp; Marcas'!B:B)</f>
        <v>Arroz | Prato Fino | 1 | Kg</v>
      </c>
      <c r="C36" t="str">
        <f>_xlfn.XLOOKUP(B36,'Produtos &amp; Marcas'!B:B,'Produtos &amp; Marcas'!C:C)</f>
        <v>Arroz</v>
      </c>
      <c r="D36" t="str">
        <f>_xlfn.XLOOKUP(B36,'Produtos &amp; Marcas'!B:B,'Produtos &amp; Marcas'!D:D)</f>
        <v>Kg</v>
      </c>
      <c r="E36" s="3">
        <f>_xlfn.XLOOKUP(B36,'Produtos &amp; Marcas'!B:B,'Produtos &amp; Marcas'!E:E)</f>
        <v>1</v>
      </c>
      <c r="F36" s="8">
        <f t="shared" si="0"/>
        <v>5.99</v>
      </c>
      <c r="G36" t="str">
        <f>_xlfn.XLOOKUP(B36,'Produtos &amp; Marcas'!B:B,'Produtos &amp; Marcas'!F:F)</f>
        <v>Prato Fino</v>
      </c>
      <c r="H36" t="s">
        <v>31</v>
      </c>
      <c r="I36">
        <f>_xlfn.XLOOKUP(H36,'Base Mercado'!C:C,'Base Mercado'!A:A)</f>
        <v>7</v>
      </c>
      <c r="J36" s="8">
        <v>5.99</v>
      </c>
      <c r="L36" s="8">
        <f t="shared" si="1"/>
        <v>5.99</v>
      </c>
      <c r="M36" s="13"/>
    </row>
    <row r="37" spans="1:13" x14ac:dyDescent="0.3">
      <c r="A37" s="3">
        <v>5</v>
      </c>
      <c r="B37" t="str">
        <f>_xlfn.XLOOKUP(A37,'Produtos &amp; Marcas'!A:A,'Produtos &amp; Marcas'!B:B)</f>
        <v>Arroz | Tio João | 1 | Kg</v>
      </c>
      <c r="C37" t="str">
        <f>_xlfn.XLOOKUP(B37,'Produtos &amp; Marcas'!B:B,'Produtos &amp; Marcas'!C:C)</f>
        <v>Arroz</v>
      </c>
      <c r="D37" t="str">
        <f>_xlfn.XLOOKUP(B37,'Produtos &amp; Marcas'!B:B,'Produtos &amp; Marcas'!D:D)</f>
        <v>Kg</v>
      </c>
      <c r="E37" s="3">
        <f>_xlfn.XLOOKUP(B37,'Produtos &amp; Marcas'!B:B,'Produtos &amp; Marcas'!E:E)</f>
        <v>1</v>
      </c>
      <c r="F37" s="8">
        <f t="shared" si="0"/>
        <v>6.35</v>
      </c>
      <c r="G37" t="str">
        <f>_xlfn.XLOOKUP(B37,'Produtos &amp; Marcas'!B:B,'Produtos &amp; Marcas'!F:F)</f>
        <v>Tio João</v>
      </c>
      <c r="H37" t="s">
        <v>25</v>
      </c>
      <c r="I37">
        <f>_xlfn.XLOOKUP(H37,'Base Mercado'!C:C,'Base Mercado'!A:A)</f>
        <v>1</v>
      </c>
      <c r="J37" s="8">
        <v>6.35</v>
      </c>
      <c r="L37" s="8">
        <f t="shared" si="1"/>
        <v>6.35</v>
      </c>
      <c r="M37" s="13"/>
    </row>
    <row r="38" spans="1:13" x14ac:dyDescent="0.3">
      <c r="A38" s="3">
        <v>5</v>
      </c>
      <c r="B38" t="str">
        <f>_xlfn.XLOOKUP(A38,'Produtos &amp; Marcas'!A:A,'Produtos &amp; Marcas'!B:B)</f>
        <v>Arroz | Tio João | 1 | Kg</v>
      </c>
      <c r="C38" t="str">
        <f>_xlfn.XLOOKUP(B38,'Produtos &amp; Marcas'!B:B,'Produtos &amp; Marcas'!C:C)</f>
        <v>Arroz</v>
      </c>
      <c r="D38" t="str">
        <f>_xlfn.XLOOKUP(B38,'Produtos &amp; Marcas'!B:B,'Produtos &amp; Marcas'!D:D)</f>
        <v>Kg</v>
      </c>
      <c r="E38" s="3">
        <f>_xlfn.XLOOKUP(B38,'Produtos &amp; Marcas'!B:B,'Produtos &amp; Marcas'!E:E)</f>
        <v>1</v>
      </c>
      <c r="F38" s="8">
        <f t="shared" si="0"/>
        <v>7.35</v>
      </c>
      <c r="G38" t="str">
        <f>_xlfn.XLOOKUP(B38,'Produtos &amp; Marcas'!B:B,'Produtos &amp; Marcas'!F:F)</f>
        <v>Tio João</v>
      </c>
      <c r="H38" t="s">
        <v>27</v>
      </c>
      <c r="I38">
        <f>_xlfn.XLOOKUP(H38,'Base Mercado'!C:C,'Base Mercado'!A:A)</f>
        <v>2</v>
      </c>
      <c r="J38" s="8">
        <v>7.35</v>
      </c>
      <c r="L38" s="8">
        <f t="shared" si="1"/>
        <v>7.35</v>
      </c>
      <c r="M38" s="13"/>
    </row>
    <row r="39" spans="1:13" x14ac:dyDescent="0.3">
      <c r="A39" s="3">
        <v>5</v>
      </c>
      <c r="B39" t="str">
        <f>_xlfn.XLOOKUP(A39,'Produtos &amp; Marcas'!A:A,'Produtos &amp; Marcas'!B:B)</f>
        <v>Arroz | Tio João | 1 | Kg</v>
      </c>
      <c r="C39" t="str">
        <f>_xlfn.XLOOKUP(B39,'Produtos &amp; Marcas'!B:B,'Produtos &amp; Marcas'!C:C)</f>
        <v>Arroz</v>
      </c>
      <c r="D39" t="str">
        <f>_xlfn.XLOOKUP(B39,'Produtos &amp; Marcas'!B:B,'Produtos &amp; Marcas'!D:D)</f>
        <v>Kg</v>
      </c>
      <c r="E39" s="3">
        <f>_xlfn.XLOOKUP(B39,'Produtos &amp; Marcas'!B:B,'Produtos &amp; Marcas'!E:E)</f>
        <v>1</v>
      </c>
      <c r="F39" s="8">
        <f t="shared" si="0"/>
        <v>8.35</v>
      </c>
      <c r="G39" t="str">
        <f>_xlfn.XLOOKUP(B39,'Produtos &amp; Marcas'!B:B,'Produtos &amp; Marcas'!F:F)</f>
        <v>Tio João</v>
      </c>
      <c r="H39" t="s">
        <v>26</v>
      </c>
      <c r="I39">
        <f>_xlfn.XLOOKUP(H39,'Base Mercado'!C:C,'Base Mercado'!A:A)</f>
        <v>3</v>
      </c>
      <c r="J39" s="8">
        <v>8.35</v>
      </c>
      <c r="L39" s="8">
        <f t="shared" si="1"/>
        <v>8.35</v>
      </c>
      <c r="M39" s="13"/>
    </row>
    <row r="40" spans="1:13" x14ac:dyDescent="0.3">
      <c r="A40" s="3">
        <v>5</v>
      </c>
      <c r="B40" t="str">
        <f>_xlfn.XLOOKUP(A40,'Produtos &amp; Marcas'!A:A,'Produtos &amp; Marcas'!B:B)</f>
        <v>Arroz | Tio João | 1 | Kg</v>
      </c>
      <c r="C40" t="str">
        <f>_xlfn.XLOOKUP(B40,'Produtos &amp; Marcas'!B:B,'Produtos &amp; Marcas'!C:C)</f>
        <v>Arroz</v>
      </c>
      <c r="D40" t="str">
        <f>_xlfn.XLOOKUP(B40,'Produtos &amp; Marcas'!B:B,'Produtos &amp; Marcas'!D:D)</f>
        <v>Kg</v>
      </c>
      <c r="E40" s="3">
        <f>_xlfn.XLOOKUP(B40,'Produtos &amp; Marcas'!B:B,'Produtos &amp; Marcas'!E:E)</f>
        <v>1</v>
      </c>
      <c r="F40" s="8">
        <f t="shared" si="0"/>
        <v>6.35</v>
      </c>
      <c r="G40" t="str">
        <f>_xlfn.XLOOKUP(B40,'Produtos &amp; Marcas'!B:B,'Produtos &amp; Marcas'!F:F)</f>
        <v>Tio João</v>
      </c>
      <c r="H40" t="s">
        <v>28</v>
      </c>
      <c r="I40">
        <f>_xlfn.XLOOKUP(H40,'Base Mercado'!C:C,'Base Mercado'!A:A)</f>
        <v>4</v>
      </c>
      <c r="J40" s="8">
        <v>6.35</v>
      </c>
      <c r="L40" s="8">
        <f t="shared" si="1"/>
        <v>6.35</v>
      </c>
      <c r="M40" s="13"/>
    </row>
    <row r="41" spans="1:13" x14ac:dyDescent="0.3">
      <c r="A41" s="3">
        <v>5</v>
      </c>
      <c r="B41" t="str">
        <f>_xlfn.XLOOKUP(A41,'Produtos &amp; Marcas'!A:A,'Produtos &amp; Marcas'!B:B)</f>
        <v>Arroz | Tio João | 1 | Kg</v>
      </c>
      <c r="C41" t="str">
        <f>_xlfn.XLOOKUP(B41,'Produtos &amp; Marcas'!B:B,'Produtos &amp; Marcas'!C:C)</f>
        <v>Arroz</v>
      </c>
      <c r="D41" t="str">
        <f>_xlfn.XLOOKUP(B41,'Produtos &amp; Marcas'!B:B,'Produtos &amp; Marcas'!D:D)</f>
        <v>Kg</v>
      </c>
      <c r="E41" s="3">
        <f>_xlfn.XLOOKUP(B41,'Produtos &amp; Marcas'!B:B,'Produtos &amp; Marcas'!E:E)</f>
        <v>1</v>
      </c>
      <c r="F41" s="8">
        <f t="shared" si="0"/>
        <v>8.35</v>
      </c>
      <c r="G41" t="str">
        <f>_xlfn.XLOOKUP(B41,'Produtos &amp; Marcas'!B:B,'Produtos &amp; Marcas'!F:F)</f>
        <v>Tio João</v>
      </c>
      <c r="H41" t="s">
        <v>29</v>
      </c>
      <c r="I41">
        <f>_xlfn.XLOOKUP(H41,'Base Mercado'!C:C,'Base Mercado'!A:A)</f>
        <v>5</v>
      </c>
      <c r="J41" s="8">
        <v>8.35</v>
      </c>
      <c r="L41" s="8">
        <f t="shared" si="1"/>
        <v>8.35</v>
      </c>
      <c r="M41" s="13"/>
    </row>
    <row r="42" spans="1:13" x14ac:dyDescent="0.3">
      <c r="A42" s="3">
        <v>5</v>
      </c>
      <c r="B42" t="str">
        <f>_xlfn.XLOOKUP(A42,'Produtos &amp; Marcas'!A:A,'Produtos &amp; Marcas'!B:B)</f>
        <v>Arroz | Tio João | 1 | Kg</v>
      </c>
      <c r="C42" t="str">
        <f>_xlfn.XLOOKUP(B42,'Produtos &amp; Marcas'!B:B,'Produtos &amp; Marcas'!C:C)</f>
        <v>Arroz</v>
      </c>
      <c r="D42" t="str">
        <f>_xlfn.XLOOKUP(B42,'Produtos &amp; Marcas'!B:B,'Produtos &amp; Marcas'!D:D)</f>
        <v>Kg</v>
      </c>
      <c r="E42" s="3">
        <f>_xlfn.XLOOKUP(B42,'Produtos &amp; Marcas'!B:B,'Produtos &amp; Marcas'!E:E)</f>
        <v>1</v>
      </c>
      <c r="F42" s="8">
        <f t="shared" si="0"/>
        <v>6.35</v>
      </c>
      <c r="G42" t="str">
        <f>_xlfn.XLOOKUP(B42,'Produtos &amp; Marcas'!B:B,'Produtos &amp; Marcas'!F:F)</f>
        <v>Tio João</v>
      </c>
      <c r="H42" t="s">
        <v>30</v>
      </c>
      <c r="I42">
        <f>_xlfn.XLOOKUP(H42,'Base Mercado'!C:C,'Base Mercado'!A:A)</f>
        <v>6</v>
      </c>
      <c r="J42" s="8">
        <v>6.35</v>
      </c>
      <c r="L42" s="8">
        <f t="shared" si="1"/>
        <v>6.35</v>
      </c>
      <c r="M42" s="13"/>
    </row>
    <row r="43" spans="1:13" x14ac:dyDescent="0.3">
      <c r="A43" s="3">
        <v>5</v>
      </c>
      <c r="B43" t="str">
        <f>_xlfn.XLOOKUP(A43,'Produtos &amp; Marcas'!A:A,'Produtos &amp; Marcas'!B:B)</f>
        <v>Arroz | Tio João | 1 | Kg</v>
      </c>
      <c r="C43" t="str">
        <f>_xlfn.XLOOKUP(B43,'Produtos &amp; Marcas'!B:B,'Produtos &amp; Marcas'!C:C)</f>
        <v>Arroz</v>
      </c>
      <c r="D43" t="str">
        <f>_xlfn.XLOOKUP(B43,'Produtos &amp; Marcas'!B:B,'Produtos &amp; Marcas'!D:D)</f>
        <v>Kg</v>
      </c>
      <c r="E43" s="3">
        <f>_xlfn.XLOOKUP(B43,'Produtos &amp; Marcas'!B:B,'Produtos &amp; Marcas'!E:E)</f>
        <v>1</v>
      </c>
      <c r="F43" s="8">
        <f t="shared" si="0"/>
        <v>5.35</v>
      </c>
      <c r="G43" t="str">
        <f>_xlfn.XLOOKUP(B43,'Produtos &amp; Marcas'!B:B,'Produtos &amp; Marcas'!F:F)</f>
        <v>Tio João</v>
      </c>
      <c r="H43" t="s">
        <v>31</v>
      </c>
      <c r="I43">
        <f>_xlfn.XLOOKUP(H43,'Base Mercado'!C:C,'Base Mercado'!A:A)</f>
        <v>7</v>
      </c>
      <c r="J43" s="8">
        <v>5.35</v>
      </c>
      <c r="L43" s="8">
        <f t="shared" si="1"/>
        <v>5.35</v>
      </c>
      <c r="M43" s="13"/>
    </row>
    <row r="44" spans="1:13" x14ac:dyDescent="0.3">
      <c r="A44" s="3">
        <v>9</v>
      </c>
      <c r="B44" t="str">
        <f>_xlfn.XLOOKUP(A44,'Produtos &amp; Marcas'!A:A,'Produtos &amp; Marcas'!B:B)</f>
        <v>Banana | Banana Maçã | 1 | Kg</v>
      </c>
      <c r="C44" t="str">
        <f>_xlfn.XLOOKUP(B44,'Produtos &amp; Marcas'!B:B,'Produtos &amp; Marcas'!C:C)</f>
        <v>Banana</v>
      </c>
      <c r="D44" t="str">
        <f>_xlfn.XLOOKUP(B44,'Produtos &amp; Marcas'!B:B,'Produtos &amp; Marcas'!D:D)</f>
        <v>Kg</v>
      </c>
      <c r="E44" s="3">
        <f>_xlfn.XLOOKUP(B44,'Produtos &amp; Marcas'!B:B,'Produtos &amp; Marcas'!E:E)</f>
        <v>1</v>
      </c>
      <c r="F44" s="8">
        <f t="shared" si="0"/>
        <v>4.6500000000000004</v>
      </c>
      <c r="G44" t="str">
        <f>_xlfn.XLOOKUP(B44,'Produtos &amp; Marcas'!B:B,'Produtos &amp; Marcas'!F:F)</f>
        <v>Banana Maçã</v>
      </c>
      <c r="H44" t="s">
        <v>25</v>
      </c>
      <c r="I44">
        <f>_xlfn.XLOOKUP(H44,'Base Mercado'!C:C,'Base Mercado'!A:A)</f>
        <v>1</v>
      </c>
      <c r="J44" s="8">
        <v>4.6500000000000004</v>
      </c>
      <c r="L44" s="8">
        <f t="shared" si="1"/>
        <v>4.6500000000000004</v>
      </c>
      <c r="M44" s="13"/>
    </row>
    <row r="45" spans="1:13" x14ac:dyDescent="0.3">
      <c r="A45" s="3">
        <v>9</v>
      </c>
      <c r="B45" t="str">
        <f>_xlfn.XLOOKUP(A45,'Produtos &amp; Marcas'!A:A,'Produtos &amp; Marcas'!B:B)</f>
        <v>Banana | Banana Maçã | 1 | Kg</v>
      </c>
      <c r="C45" t="str">
        <f>_xlfn.XLOOKUP(B45,'Produtos &amp; Marcas'!B:B,'Produtos &amp; Marcas'!C:C)</f>
        <v>Banana</v>
      </c>
      <c r="D45" t="str">
        <f>_xlfn.XLOOKUP(B45,'Produtos &amp; Marcas'!B:B,'Produtos &amp; Marcas'!D:D)</f>
        <v>Kg</v>
      </c>
      <c r="E45" s="3">
        <f>_xlfn.XLOOKUP(B45,'Produtos &amp; Marcas'!B:B,'Produtos &amp; Marcas'!E:E)</f>
        <v>1</v>
      </c>
      <c r="F45" s="8">
        <f t="shared" si="0"/>
        <v>5.65</v>
      </c>
      <c r="G45" t="str">
        <f>_xlfn.XLOOKUP(B45,'Produtos &amp; Marcas'!B:B,'Produtos &amp; Marcas'!F:F)</f>
        <v>Banana Maçã</v>
      </c>
      <c r="H45" t="s">
        <v>27</v>
      </c>
      <c r="I45">
        <f>_xlfn.XLOOKUP(H45,'Base Mercado'!C:C,'Base Mercado'!A:A)</f>
        <v>2</v>
      </c>
      <c r="J45" s="8">
        <v>5.65</v>
      </c>
      <c r="L45" s="8">
        <f t="shared" si="1"/>
        <v>5.65</v>
      </c>
      <c r="M45" s="13"/>
    </row>
    <row r="46" spans="1:13" x14ac:dyDescent="0.3">
      <c r="A46" s="3">
        <v>9</v>
      </c>
      <c r="B46" t="str">
        <f>_xlfn.XLOOKUP(A46,'Produtos &amp; Marcas'!A:A,'Produtos &amp; Marcas'!B:B)</f>
        <v>Banana | Banana Maçã | 1 | Kg</v>
      </c>
      <c r="C46" t="str">
        <f>_xlfn.XLOOKUP(B46,'Produtos &amp; Marcas'!B:B,'Produtos &amp; Marcas'!C:C)</f>
        <v>Banana</v>
      </c>
      <c r="D46" t="str">
        <f>_xlfn.XLOOKUP(B46,'Produtos &amp; Marcas'!B:B,'Produtos &amp; Marcas'!D:D)</f>
        <v>Kg</v>
      </c>
      <c r="E46" s="3">
        <f>_xlfn.XLOOKUP(B46,'Produtos &amp; Marcas'!B:B,'Produtos &amp; Marcas'!E:E)</f>
        <v>1</v>
      </c>
      <c r="F46" s="8">
        <f t="shared" si="0"/>
        <v>3.6500000000000004</v>
      </c>
      <c r="G46" t="str">
        <f>_xlfn.XLOOKUP(B46,'Produtos &amp; Marcas'!B:B,'Produtos &amp; Marcas'!F:F)</f>
        <v>Banana Maçã</v>
      </c>
      <c r="H46" t="s">
        <v>26</v>
      </c>
      <c r="I46">
        <f>_xlfn.XLOOKUP(H46,'Base Mercado'!C:C,'Base Mercado'!A:A)</f>
        <v>3</v>
      </c>
      <c r="J46" s="8">
        <v>3.6500000000000004</v>
      </c>
      <c r="L46" s="8">
        <f t="shared" si="1"/>
        <v>3.6500000000000004</v>
      </c>
      <c r="M46" s="13"/>
    </row>
    <row r="47" spans="1:13" x14ac:dyDescent="0.3">
      <c r="A47" s="3">
        <v>9</v>
      </c>
      <c r="B47" t="str">
        <f>_xlfn.XLOOKUP(A47,'Produtos &amp; Marcas'!A:A,'Produtos &amp; Marcas'!B:B)</f>
        <v>Banana | Banana Maçã | 1 | Kg</v>
      </c>
      <c r="C47" t="str">
        <f>_xlfn.XLOOKUP(B47,'Produtos &amp; Marcas'!B:B,'Produtos &amp; Marcas'!C:C)</f>
        <v>Banana</v>
      </c>
      <c r="D47" t="str">
        <f>_xlfn.XLOOKUP(B47,'Produtos &amp; Marcas'!B:B,'Produtos &amp; Marcas'!D:D)</f>
        <v>Kg</v>
      </c>
      <c r="E47" s="3">
        <f>_xlfn.XLOOKUP(B47,'Produtos &amp; Marcas'!B:B,'Produtos &amp; Marcas'!E:E)</f>
        <v>1</v>
      </c>
      <c r="F47" s="8">
        <f t="shared" si="0"/>
        <v>6.65</v>
      </c>
      <c r="G47" t="str">
        <f>_xlfn.XLOOKUP(B47,'Produtos &amp; Marcas'!B:B,'Produtos &amp; Marcas'!F:F)</f>
        <v>Banana Maçã</v>
      </c>
      <c r="H47" t="s">
        <v>28</v>
      </c>
      <c r="I47">
        <f>_xlfn.XLOOKUP(H47,'Base Mercado'!C:C,'Base Mercado'!A:A)</f>
        <v>4</v>
      </c>
      <c r="J47" s="8">
        <v>6.65</v>
      </c>
      <c r="L47" s="8">
        <f t="shared" si="1"/>
        <v>6.65</v>
      </c>
      <c r="M47" s="13"/>
    </row>
    <row r="48" spans="1:13" x14ac:dyDescent="0.3">
      <c r="A48" s="3">
        <v>9</v>
      </c>
      <c r="B48" t="str">
        <f>_xlfn.XLOOKUP(A48,'Produtos &amp; Marcas'!A:A,'Produtos &amp; Marcas'!B:B)</f>
        <v>Banana | Banana Maçã | 1 | Kg</v>
      </c>
      <c r="C48" t="str">
        <f>_xlfn.XLOOKUP(B48,'Produtos &amp; Marcas'!B:B,'Produtos &amp; Marcas'!C:C)</f>
        <v>Banana</v>
      </c>
      <c r="D48" t="str">
        <f>_xlfn.XLOOKUP(B48,'Produtos &amp; Marcas'!B:B,'Produtos &amp; Marcas'!D:D)</f>
        <v>Kg</v>
      </c>
      <c r="E48" s="3">
        <f>_xlfn.XLOOKUP(B48,'Produtos &amp; Marcas'!B:B,'Produtos &amp; Marcas'!E:E)</f>
        <v>1</v>
      </c>
      <c r="F48" s="8">
        <f t="shared" si="0"/>
        <v>4.6500000000000004</v>
      </c>
      <c r="G48" t="str">
        <f>_xlfn.XLOOKUP(B48,'Produtos &amp; Marcas'!B:B,'Produtos &amp; Marcas'!F:F)</f>
        <v>Banana Maçã</v>
      </c>
      <c r="H48" t="s">
        <v>29</v>
      </c>
      <c r="I48">
        <f>_xlfn.XLOOKUP(H48,'Base Mercado'!C:C,'Base Mercado'!A:A)</f>
        <v>5</v>
      </c>
      <c r="J48" s="8">
        <v>4.6500000000000004</v>
      </c>
      <c r="L48" s="8">
        <f t="shared" si="1"/>
        <v>4.6500000000000004</v>
      </c>
      <c r="M48" s="13"/>
    </row>
    <row r="49" spans="1:13" x14ac:dyDescent="0.3">
      <c r="A49" s="3">
        <v>9</v>
      </c>
      <c r="B49" t="str">
        <f>_xlfn.XLOOKUP(A49,'Produtos &amp; Marcas'!A:A,'Produtos &amp; Marcas'!B:B)</f>
        <v>Banana | Banana Maçã | 1 | Kg</v>
      </c>
      <c r="C49" t="str">
        <f>_xlfn.XLOOKUP(B49,'Produtos &amp; Marcas'!B:B,'Produtos &amp; Marcas'!C:C)</f>
        <v>Banana</v>
      </c>
      <c r="D49" t="str">
        <f>_xlfn.XLOOKUP(B49,'Produtos &amp; Marcas'!B:B,'Produtos &amp; Marcas'!D:D)</f>
        <v>Kg</v>
      </c>
      <c r="E49" s="3">
        <f>_xlfn.XLOOKUP(B49,'Produtos &amp; Marcas'!B:B,'Produtos &amp; Marcas'!E:E)</f>
        <v>1</v>
      </c>
      <c r="F49" s="8">
        <f t="shared" si="0"/>
        <v>4.6500000000000004</v>
      </c>
      <c r="G49" t="str">
        <f>_xlfn.XLOOKUP(B49,'Produtos &amp; Marcas'!B:B,'Produtos &amp; Marcas'!F:F)</f>
        <v>Banana Maçã</v>
      </c>
      <c r="H49" t="s">
        <v>30</v>
      </c>
      <c r="I49">
        <f>_xlfn.XLOOKUP(H49,'Base Mercado'!C:C,'Base Mercado'!A:A)</f>
        <v>6</v>
      </c>
      <c r="J49" s="8">
        <v>4.6500000000000004</v>
      </c>
      <c r="L49" s="8">
        <f t="shared" si="1"/>
        <v>4.6500000000000004</v>
      </c>
      <c r="M49" s="13"/>
    </row>
    <row r="50" spans="1:13" x14ac:dyDescent="0.3">
      <c r="A50" s="3">
        <v>9</v>
      </c>
      <c r="B50" t="str">
        <f>_xlfn.XLOOKUP(A50,'Produtos &amp; Marcas'!A:A,'Produtos &amp; Marcas'!B:B)</f>
        <v>Banana | Banana Maçã | 1 | Kg</v>
      </c>
      <c r="C50" t="str">
        <f>_xlfn.XLOOKUP(B50,'Produtos &amp; Marcas'!B:B,'Produtos &amp; Marcas'!C:C)</f>
        <v>Banana</v>
      </c>
      <c r="D50" t="str">
        <f>_xlfn.XLOOKUP(B50,'Produtos &amp; Marcas'!B:B,'Produtos &amp; Marcas'!D:D)</f>
        <v>Kg</v>
      </c>
      <c r="E50" s="3">
        <f>_xlfn.XLOOKUP(B50,'Produtos &amp; Marcas'!B:B,'Produtos &amp; Marcas'!E:E)</f>
        <v>1</v>
      </c>
      <c r="F50" s="8">
        <f t="shared" si="0"/>
        <v>5.65</v>
      </c>
      <c r="G50" t="str">
        <f>_xlfn.XLOOKUP(B50,'Produtos &amp; Marcas'!B:B,'Produtos &amp; Marcas'!F:F)</f>
        <v>Banana Maçã</v>
      </c>
      <c r="H50" t="s">
        <v>31</v>
      </c>
      <c r="I50">
        <f>_xlfn.XLOOKUP(H50,'Base Mercado'!C:C,'Base Mercado'!A:A)</f>
        <v>7</v>
      </c>
      <c r="J50" s="8">
        <v>5.65</v>
      </c>
      <c r="L50" s="8">
        <f t="shared" si="1"/>
        <v>5.65</v>
      </c>
      <c r="M50" s="13"/>
    </row>
    <row r="51" spans="1:13" x14ac:dyDescent="0.3">
      <c r="A51" s="3">
        <v>7</v>
      </c>
      <c r="B51" t="str">
        <f>_xlfn.XLOOKUP(A51,'Produtos &amp; Marcas'!A:A,'Produtos &amp; Marcas'!B:B)</f>
        <v>Banana | Banana Nanica | 1 | Kg</v>
      </c>
      <c r="C51" t="str">
        <f>_xlfn.XLOOKUP(B51,'Produtos &amp; Marcas'!B:B,'Produtos &amp; Marcas'!C:C)</f>
        <v>Banana</v>
      </c>
      <c r="D51" t="str">
        <f>_xlfn.XLOOKUP(B51,'Produtos &amp; Marcas'!B:B,'Produtos &amp; Marcas'!D:D)</f>
        <v>Kg</v>
      </c>
      <c r="E51" s="3">
        <f>_xlfn.XLOOKUP(B51,'Produtos &amp; Marcas'!B:B,'Produtos &amp; Marcas'!E:E)</f>
        <v>1</v>
      </c>
      <c r="F51" s="8">
        <f t="shared" si="0"/>
        <v>3.99</v>
      </c>
      <c r="G51" t="str">
        <f>_xlfn.XLOOKUP(B51,'Produtos &amp; Marcas'!B:B,'Produtos &amp; Marcas'!F:F)</f>
        <v>Banana Nanica</v>
      </c>
      <c r="H51" t="s">
        <v>25</v>
      </c>
      <c r="I51">
        <f>_xlfn.XLOOKUP(H51,'Base Mercado'!C:C,'Base Mercado'!A:A)</f>
        <v>1</v>
      </c>
      <c r="J51" s="8">
        <v>3.99</v>
      </c>
      <c r="L51" s="8">
        <f t="shared" si="1"/>
        <v>3.99</v>
      </c>
      <c r="M51" s="13"/>
    </row>
    <row r="52" spans="1:13" x14ac:dyDescent="0.3">
      <c r="A52" s="3">
        <v>7</v>
      </c>
      <c r="B52" t="str">
        <f>_xlfn.XLOOKUP(A52,'Produtos &amp; Marcas'!A:A,'Produtos &amp; Marcas'!B:B)</f>
        <v>Banana | Banana Nanica | 1 | Kg</v>
      </c>
      <c r="C52" t="str">
        <f>_xlfn.XLOOKUP(B52,'Produtos &amp; Marcas'!B:B,'Produtos &amp; Marcas'!C:C)</f>
        <v>Banana</v>
      </c>
      <c r="D52" t="str">
        <f>_xlfn.XLOOKUP(B52,'Produtos &amp; Marcas'!B:B,'Produtos &amp; Marcas'!D:D)</f>
        <v>Kg</v>
      </c>
      <c r="E52" s="3">
        <f>_xlfn.XLOOKUP(B52,'Produtos &amp; Marcas'!B:B,'Produtos &amp; Marcas'!E:E)</f>
        <v>1</v>
      </c>
      <c r="F52" s="8">
        <f t="shared" si="0"/>
        <v>4.99</v>
      </c>
      <c r="G52" t="str">
        <f>_xlfn.XLOOKUP(B52,'Produtos &amp; Marcas'!B:B,'Produtos &amp; Marcas'!F:F)</f>
        <v>Banana Nanica</v>
      </c>
      <c r="H52" t="s">
        <v>27</v>
      </c>
      <c r="I52">
        <f>_xlfn.XLOOKUP(H52,'Base Mercado'!C:C,'Base Mercado'!A:A)</f>
        <v>2</v>
      </c>
      <c r="J52" s="8">
        <v>4.99</v>
      </c>
      <c r="L52" s="8">
        <f t="shared" si="1"/>
        <v>4.99</v>
      </c>
      <c r="M52" s="13"/>
    </row>
    <row r="53" spans="1:13" x14ac:dyDescent="0.3">
      <c r="A53" s="3">
        <v>7</v>
      </c>
      <c r="B53" t="str">
        <f>_xlfn.XLOOKUP(A53,'Produtos &amp; Marcas'!A:A,'Produtos &amp; Marcas'!B:B)</f>
        <v>Banana | Banana Nanica | 1 | Kg</v>
      </c>
      <c r="C53" t="str">
        <f>_xlfn.XLOOKUP(B53,'Produtos &amp; Marcas'!B:B,'Produtos &amp; Marcas'!C:C)</f>
        <v>Banana</v>
      </c>
      <c r="D53" t="str">
        <f>_xlfn.XLOOKUP(B53,'Produtos &amp; Marcas'!B:B,'Produtos &amp; Marcas'!D:D)</f>
        <v>Kg</v>
      </c>
      <c r="E53" s="3">
        <f>_xlfn.XLOOKUP(B53,'Produtos &amp; Marcas'!B:B,'Produtos &amp; Marcas'!E:E)</f>
        <v>1</v>
      </c>
      <c r="F53" s="8">
        <f t="shared" si="0"/>
        <v>3.99</v>
      </c>
      <c r="G53" t="str">
        <f>_xlfn.XLOOKUP(B53,'Produtos &amp; Marcas'!B:B,'Produtos &amp; Marcas'!F:F)</f>
        <v>Banana Nanica</v>
      </c>
      <c r="H53" t="s">
        <v>26</v>
      </c>
      <c r="I53">
        <f>_xlfn.XLOOKUP(H53,'Base Mercado'!C:C,'Base Mercado'!A:A)</f>
        <v>3</v>
      </c>
      <c r="J53" s="8">
        <v>3.99</v>
      </c>
      <c r="L53" s="8">
        <f t="shared" si="1"/>
        <v>3.99</v>
      </c>
      <c r="M53" s="13"/>
    </row>
    <row r="54" spans="1:13" x14ac:dyDescent="0.3">
      <c r="A54" s="3">
        <v>7</v>
      </c>
      <c r="B54" t="str">
        <f>_xlfn.XLOOKUP(A54,'Produtos &amp; Marcas'!A:A,'Produtos &amp; Marcas'!B:B)</f>
        <v>Banana | Banana Nanica | 1 | Kg</v>
      </c>
      <c r="C54" t="str">
        <f>_xlfn.XLOOKUP(B54,'Produtos &amp; Marcas'!B:B,'Produtos &amp; Marcas'!C:C)</f>
        <v>Banana</v>
      </c>
      <c r="D54" t="str">
        <f>_xlfn.XLOOKUP(B54,'Produtos &amp; Marcas'!B:B,'Produtos &amp; Marcas'!D:D)</f>
        <v>Kg</v>
      </c>
      <c r="E54" s="3">
        <f>_xlfn.XLOOKUP(B54,'Produtos &amp; Marcas'!B:B,'Produtos &amp; Marcas'!E:E)</f>
        <v>1</v>
      </c>
      <c r="F54" s="8">
        <f t="shared" si="0"/>
        <v>5.99</v>
      </c>
      <c r="G54" t="str">
        <f>_xlfn.XLOOKUP(B54,'Produtos &amp; Marcas'!B:B,'Produtos &amp; Marcas'!F:F)</f>
        <v>Banana Nanica</v>
      </c>
      <c r="H54" t="s">
        <v>28</v>
      </c>
      <c r="I54">
        <f>_xlfn.XLOOKUP(H54,'Base Mercado'!C:C,'Base Mercado'!A:A)</f>
        <v>4</v>
      </c>
      <c r="J54" s="8">
        <v>5.99</v>
      </c>
      <c r="L54" s="8">
        <f t="shared" si="1"/>
        <v>5.99</v>
      </c>
      <c r="M54" s="13"/>
    </row>
    <row r="55" spans="1:13" x14ac:dyDescent="0.3">
      <c r="A55" s="3">
        <v>7</v>
      </c>
      <c r="B55" t="str">
        <f>_xlfn.XLOOKUP(A55,'Produtos &amp; Marcas'!A:A,'Produtos &amp; Marcas'!B:B)</f>
        <v>Banana | Banana Nanica | 1 | Kg</v>
      </c>
      <c r="C55" t="str">
        <f>_xlfn.XLOOKUP(B55,'Produtos &amp; Marcas'!B:B,'Produtos &amp; Marcas'!C:C)</f>
        <v>Banana</v>
      </c>
      <c r="D55" t="str">
        <f>_xlfn.XLOOKUP(B55,'Produtos &amp; Marcas'!B:B,'Produtos &amp; Marcas'!D:D)</f>
        <v>Kg</v>
      </c>
      <c r="E55" s="3">
        <f>_xlfn.XLOOKUP(B55,'Produtos &amp; Marcas'!B:B,'Produtos &amp; Marcas'!E:E)</f>
        <v>1</v>
      </c>
      <c r="F55" s="8">
        <f t="shared" si="0"/>
        <v>5.99</v>
      </c>
      <c r="G55" t="str">
        <f>_xlfn.XLOOKUP(B55,'Produtos &amp; Marcas'!B:B,'Produtos &amp; Marcas'!F:F)</f>
        <v>Banana Nanica</v>
      </c>
      <c r="H55" t="s">
        <v>29</v>
      </c>
      <c r="I55">
        <f>_xlfn.XLOOKUP(H55,'Base Mercado'!C:C,'Base Mercado'!A:A)</f>
        <v>5</v>
      </c>
      <c r="J55" s="8">
        <v>5.99</v>
      </c>
      <c r="K55" s="8">
        <v>5.84</v>
      </c>
      <c r="L55" s="8">
        <f t="shared" si="1"/>
        <v>5.84</v>
      </c>
      <c r="M55" s="13"/>
    </row>
    <row r="56" spans="1:13" x14ac:dyDescent="0.3">
      <c r="A56" s="3">
        <v>7</v>
      </c>
      <c r="B56" t="str">
        <f>_xlfn.XLOOKUP(A56,'Produtos &amp; Marcas'!A:A,'Produtos &amp; Marcas'!B:B)</f>
        <v>Banana | Banana Nanica | 1 | Kg</v>
      </c>
      <c r="C56" t="str">
        <f>_xlfn.XLOOKUP(B56,'Produtos &amp; Marcas'!B:B,'Produtos &amp; Marcas'!C:C)</f>
        <v>Banana</v>
      </c>
      <c r="D56" t="str">
        <f>_xlfn.XLOOKUP(B56,'Produtos &amp; Marcas'!B:B,'Produtos &amp; Marcas'!D:D)</f>
        <v>Kg</v>
      </c>
      <c r="E56" s="3">
        <f>_xlfn.XLOOKUP(B56,'Produtos &amp; Marcas'!B:B,'Produtos &amp; Marcas'!E:E)</f>
        <v>1</v>
      </c>
      <c r="F56" s="8">
        <f t="shared" si="0"/>
        <v>4.99</v>
      </c>
      <c r="G56" t="str">
        <f>_xlfn.XLOOKUP(B56,'Produtos &amp; Marcas'!B:B,'Produtos &amp; Marcas'!F:F)</f>
        <v>Banana Nanica</v>
      </c>
      <c r="H56" t="s">
        <v>30</v>
      </c>
      <c r="I56">
        <f>_xlfn.XLOOKUP(H56,'Base Mercado'!C:C,'Base Mercado'!A:A)</f>
        <v>6</v>
      </c>
      <c r="J56" s="8">
        <v>4.99</v>
      </c>
      <c r="K56" s="8">
        <v>4.8900000000000006</v>
      </c>
      <c r="L56" s="8">
        <f t="shared" si="1"/>
        <v>4.8900000000000006</v>
      </c>
      <c r="M56" s="13"/>
    </row>
    <row r="57" spans="1:13" x14ac:dyDescent="0.3">
      <c r="A57" s="3">
        <v>7</v>
      </c>
      <c r="B57" t="str">
        <f>_xlfn.XLOOKUP(A57,'Produtos &amp; Marcas'!A:A,'Produtos &amp; Marcas'!B:B)</f>
        <v>Banana | Banana Nanica | 1 | Kg</v>
      </c>
      <c r="C57" t="str">
        <f>_xlfn.XLOOKUP(B57,'Produtos &amp; Marcas'!B:B,'Produtos &amp; Marcas'!C:C)</f>
        <v>Banana</v>
      </c>
      <c r="D57" t="str">
        <f>_xlfn.XLOOKUP(B57,'Produtos &amp; Marcas'!B:B,'Produtos &amp; Marcas'!D:D)</f>
        <v>Kg</v>
      </c>
      <c r="E57" s="3">
        <f>_xlfn.XLOOKUP(B57,'Produtos &amp; Marcas'!B:B,'Produtos &amp; Marcas'!E:E)</f>
        <v>1</v>
      </c>
      <c r="F57" s="8">
        <f t="shared" si="0"/>
        <v>4.99</v>
      </c>
      <c r="G57" t="str">
        <f>_xlfn.XLOOKUP(B57,'Produtos &amp; Marcas'!B:B,'Produtos &amp; Marcas'!F:F)</f>
        <v>Banana Nanica</v>
      </c>
      <c r="H57" t="s">
        <v>31</v>
      </c>
      <c r="I57">
        <f>_xlfn.XLOOKUP(H57,'Base Mercado'!C:C,'Base Mercado'!A:A)</f>
        <v>7</v>
      </c>
      <c r="J57" s="8">
        <v>4.99</v>
      </c>
      <c r="K57" s="8">
        <v>4.8900000000000006</v>
      </c>
      <c r="L57" s="8">
        <f t="shared" si="1"/>
        <v>4.8900000000000006</v>
      </c>
      <c r="M57" s="13"/>
    </row>
    <row r="58" spans="1:13" x14ac:dyDescent="0.3">
      <c r="A58" s="3">
        <v>8</v>
      </c>
      <c r="B58" t="str">
        <f>_xlfn.XLOOKUP(A58,'Produtos &amp; Marcas'!A:A,'Produtos &amp; Marcas'!B:B)</f>
        <v>Banana | Banana Prata | 1 | Kg</v>
      </c>
      <c r="C58" t="str">
        <f>_xlfn.XLOOKUP(B58,'Produtos &amp; Marcas'!B:B,'Produtos &amp; Marcas'!C:C)</f>
        <v>Banana</v>
      </c>
      <c r="D58" t="str">
        <f>_xlfn.XLOOKUP(B58,'Produtos &amp; Marcas'!B:B,'Produtos &amp; Marcas'!D:D)</f>
        <v>Kg</v>
      </c>
      <c r="E58" s="3">
        <f>_xlfn.XLOOKUP(B58,'Produtos &amp; Marcas'!B:B,'Produtos &amp; Marcas'!E:E)</f>
        <v>1</v>
      </c>
      <c r="F58" s="8">
        <f t="shared" si="0"/>
        <v>6.5</v>
      </c>
      <c r="G58" t="str">
        <f>_xlfn.XLOOKUP(B58,'Produtos &amp; Marcas'!B:B,'Produtos &amp; Marcas'!F:F)</f>
        <v>Banana Prata</v>
      </c>
      <c r="H58" t="s">
        <v>25</v>
      </c>
      <c r="I58">
        <f>_xlfn.XLOOKUP(H58,'Base Mercado'!C:C,'Base Mercado'!A:A)</f>
        <v>1</v>
      </c>
      <c r="J58" s="8">
        <v>6.5</v>
      </c>
      <c r="K58" s="8">
        <v>6.4</v>
      </c>
      <c r="L58" s="8">
        <f t="shared" si="1"/>
        <v>6.4</v>
      </c>
      <c r="M58" s="13"/>
    </row>
    <row r="59" spans="1:13" x14ac:dyDescent="0.3">
      <c r="A59" s="3">
        <v>8</v>
      </c>
      <c r="B59" t="str">
        <f>_xlfn.XLOOKUP(A59,'Produtos &amp; Marcas'!A:A,'Produtos &amp; Marcas'!B:B)</f>
        <v>Banana | Banana Prata | 1 | Kg</v>
      </c>
      <c r="C59" t="str">
        <f>_xlfn.XLOOKUP(B59,'Produtos &amp; Marcas'!B:B,'Produtos &amp; Marcas'!C:C)</f>
        <v>Banana</v>
      </c>
      <c r="D59" t="str">
        <f>_xlfn.XLOOKUP(B59,'Produtos &amp; Marcas'!B:B,'Produtos &amp; Marcas'!D:D)</f>
        <v>Kg</v>
      </c>
      <c r="E59" s="3">
        <f>_xlfn.XLOOKUP(B59,'Produtos &amp; Marcas'!B:B,'Produtos &amp; Marcas'!E:E)</f>
        <v>1</v>
      </c>
      <c r="F59" s="8">
        <f t="shared" si="0"/>
        <v>7.5</v>
      </c>
      <c r="G59" t="str">
        <f>_xlfn.XLOOKUP(B59,'Produtos &amp; Marcas'!B:B,'Produtos &amp; Marcas'!F:F)</f>
        <v>Banana Prata</v>
      </c>
      <c r="H59" t="s">
        <v>27</v>
      </c>
      <c r="I59">
        <f>_xlfn.XLOOKUP(H59,'Base Mercado'!C:C,'Base Mercado'!A:A)</f>
        <v>2</v>
      </c>
      <c r="J59" s="8">
        <v>7.5</v>
      </c>
      <c r="K59" s="8">
        <v>7.4</v>
      </c>
      <c r="L59" s="8">
        <f t="shared" si="1"/>
        <v>7.4</v>
      </c>
      <c r="M59" s="13"/>
    </row>
    <row r="60" spans="1:13" x14ac:dyDescent="0.3">
      <c r="A60" s="3">
        <v>8</v>
      </c>
      <c r="B60" t="str">
        <f>_xlfn.XLOOKUP(A60,'Produtos &amp; Marcas'!A:A,'Produtos &amp; Marcas'!B:B)</f>
        <v>Banana | Banana Prata | 1 | Kg</v>
      </c>
      <c r="C60" t="str">
        <f>_xlfn.XLOOKUP(B60,'Produtos &amp; Marcas'!B:B,'Produtos &amp; Marcas'!C:C)</f>
        <v>Banana</v>
      </c>
      <c r="D60" t="str">
        <f>_xlfn.XLOOKUP(B60,'Produtos &amp; Marcas'!B:B,'Produtos &amp; Marcas'!D:D)</f>
        <v>Kg</v>
      </c>
      <c r="E60" s="3">
        <f>_xlfn.XLOOKUP(B60,'Produtos &amp; Marcas'!B:B,'Produtos &amp; Marcas'!E:E)</f>
        <v>1</v>
      </c>
      <c r="F60" s="8">
        <f t="shared" si="0"/>
        <v>6.5</v>
      </c>
      <c r="G60" t="str">
        <f>_xlfn.XLOOKUP(B60,'Produtos &amp; Marcas'!B:B,'Produtos &amp; Marcas'!F:F)</f>
        <v>Banana Prata</v>
      </c>
      <c r="H60" t="s">
        <v>26</v>
      </c>
      <c r="I60">
        <f>_xlfn.XLOOKUP(H60,'Base Mercado'!C:C,'Base Mercado'!A:A)</f>
        <v>3</v>
      </c>
      <c r="J60" s="8">
        <v>6.5</v>
      </c>
      <c r="K60" s="8">
        <v>6.4</v>
      </c>
      <c r="L60" s="8">
        <f t="shared" si="1"/>
        <v>6.4</v>
      </c>
      <c r="M60" s="13"/>
    </row>
    <row r="61" spans="1:13" x14ac:dyDescent="0.3">
      <c r="A61" s="3">
        <v>8</v>
      </c>
      <c r="B61" t="str">
        <f>_xlfn.XLOOKUP(A61,'Produtos &amp; Marcas'!A:A,'Produtos &amp; Marcas'!B:B)</f>
        <v>Banana | Banana Prata | 1 | Kg</v>
      </c>
      <c r="C61" t="str">
        <f>_xlfn.XLOOKUP(B61,'Produtos &amp; Marcas'!B:B,'Produtos &amp; Marcas'!C:C)</f>
        <v>Banana</v>
      </c>
      <c r="D61" t="str">
        <f>_xlfn.XLOOKUP(B61,'Produtos &amp; Marcas'!B:B,'Produtos &amp; Marcas'!D:D)</f>
        <v>Kg</v>
      </c>
      <c r="E61" s="3">
        <f>_xlfn.XLOOKUP(B61,'Produtos &amp; Marcas'!B:B,'Produtos &amp; Marcas'!E:E)</f>
        <v>1</v>
      </c>
      <c r="F61" s="8">
        <f t="shared" si="0"/>
        <v>6.5</v>
      </c>
      <c r="G61" t="str">
        <f>_xlfn.XLOOKUP(B61,'Produtos &amp; Marcas'!B:B,'Produtos &amp; Marcas'!F:F)</f>
        <v>Banana Prata</v>
      </c>
      <c r="H61" t="s">
        <v>28</v>
      </c>
      <c r="I61">
        <f>_xlfn.XLOOKUP(H61,'Base Mercado'!C:C,'Base Mercado'!A:A)</f>
        <v>4</v>
      </c>
      <c r="J61" s="8">
        <v>6.5</v>
      </c>
      <c r="K61" s="8">
        <v>6.42</v>
      </c>
      <c r="L61" s="8">
        <f t="shared" si="1"/>
        <v>6.42</v>
      </c>
      <c r="M61" s="13"/>
    </row>
    <row r="62" spans="1:13" x14ac:dyDescent="0.3">
      <c r="A62" s="3">
        <v>8</v>
      </c>
      <c r="B62" t="str">
        <f>_xlfn.XLOOKUP(A62,'Produtos &amp; Marcas'!A:A,'Produtos &amp; Marcas'!B:B)</f>
        <v>Banana | Banana Prata | 1 | Kg</v>
      </c>
      <c r="C62" t="str">
        <f>_xlfn.XLOOKUP(B62,'Produtos &amp; Marcas'!B:B,'Produtos &amp; Marcas'!C:C)</f>
        <v>Banana</v>
      </c>
      <c r="D62" t="str">
        <f>_xlfn.XLOOKUP(B62,'Produtos &amp; Marcas'!B:B,'Produtos &amp; Marcas'!D:D)</f>
        <v>Kg</v>
      </c>
      <c r="E62" s="3">
        <f>_xlfn.XLOOKUP(B62,'Produtos &amp; Marcas'!B:B,'Produtos &amp; Marcas'!E:E)</f>
        <v>1</v>
      </c>
      <c r="F62" s="8">
        <f t="shared" si="0"/>
        <v>8.5</v>
      </c>
      <c r="G62" t="str">
        <f>_xlfn.XLOOKUP(B62,'Produtos &amp; Marcas'!B:B,'Produtos &amp; Marcas'!F:F)</f>
        <v>Banana Prata</v>
      </c>
      <c r="H62" t="s">
        <v>29</v>
      </c>
      <c r="I62">
        <f>_xlfn.XLOOKUP(H62,'Base Mercado'!C:C,'Base Mercado'!A:A)</f>
        <v>5</v>
      </c>
      <c r="J62" s="8">
        <v>8.5</v>
      </c>
      <c r="L62" s="8">
        <f t="shared" si="1"/>
        <v>8.5</v>
      </c>
      <c r="M62" s="13"/>
    </row>
    <row r="63" spans="1:13" x14ac:dyDescent="0.3">
      <c r="A63" s="3">
        <v>8</v>
      </c>
      <c r="B63" t="str">
        <f>_xlfn.XLOOKUP(A63,'Produtos &amp; Marcas'!A:A,'Produtos &amp; Marcas'!B:B)</f>
        <v>Banana | Banana Prata | 1 | Kg</v>
      </c>
      <c r="C63" t="str">
        <f>_xlfn.XLOOKUP(B63,'Produtos &amp; Marcas'!B:B,'Produtos &amp; Marcas'!C:C)</f>
        <v>Banana</v>
      </c>
      <c r="D63" t="str">
        <f>_xlfn.XLOOKUP(B63,'Produtos &amp; Marcas'!B:B,'Produtos &amp; Marcas'!D:D)</f>
        <v>Kg</v>
      </c>
      <c r="E63" s="3">
        <f>_xlfn.XLOOKUP(B63,'Produtos &amp; Marcas'!B:B,'Produtos &amp; Marcas'!E:E)</f>
        <v>1</v>
      </c>
      <c r="F63" s="8">
        <f t="shared" si="0"/>
        <v>5.5</v>
      </c>
      <c r="G63" t="str">
        <f>_xlfn.XLOOKUP(B63,'Produtos &amp; Marcas'!B:B,'Produtos &amp; Marcas'!F:F)</f>
        <v>Banana Prata</v>
      </c>
      <c r="H63" t="s">
        <v>30</v>
      </c>
      <c r="I63">
        <f>_xlfn.XLOOKUP(H63,'Base Mercado'!C:C,'Base Mercado'!A:A)</f>
        <v>6</v>
      </c>
      <c r="J63" s="8">
        <v>5.5</v>
      </c>
      <c r="L63" s="8">
        <f t="shared" si="1"/>
        <v>5.5</v>
      </c>
      <c r="M63" s="13"/>
    </row>
    <row r="64" spans="1:13" x14ac:dyDescent="0.3">
      <c r="A64" s="3">
        <v>8</v>
      </c>
      <c r="B64" t="str">
        <f>_xlfn.XLOOKUP(A64,'Produtos &amp; Marcas'!A:A,'Produtos &amp; Marcas'!B:B)</f>
        <v>Banana | Banana Prata | 1 | Kg</v>
      </c>
      <c r="C64" t="str">
        <f>_xlfn.XLOOKUP(B64,'Produtos &amp; Marcas'!B:B,'Produtos &amp; Marcas'!C:C)</f>
        <v>Banana</v>
      </c>
      <c r="D64" t="str">
        <f>_xlfn.XLOOKUP(B64,'Produtos &amp; Marcas'!B:B,'Produtos &amp; Marcas'!D:D)</f>
        <v>Kg</v>
      </c>
      <c r="E64" s="3">
        <f>_xlfn.XLOOKUP(B64,'Produtos &amp; Marcas'!B:B,'Produtos &amp; Marcas'!E:E)</f>
        <v>1</v>
      </c>
      <c r="F64" s="8">
        <f t="shared" si="0"/>
        <v>8.5</v>
      </c>
      <c r="G64" t="str">
        <f>_xlfn.XLOOKUP(B64,'Produtos &amp; Marcas'!B:B,'Produtos &amp; Marcas'!F:F)</f>
        <v>Banana Prata</v>
      </c>
      <c r="H64" t="s">
        <v>31</v>
      </c>
      <c r="I64">
        <f>_xlfn.XLOOKUP(H64,'Base Mercado'!C:C,'Base Mercado'!A:A)</f>
        <v>7</v>
      </c>
      <c r="J64" s="8">
        <v>8.5</v>
      </c>
      <c r="L64" s="8">
        <f t="shared" si="1"/>
        <v>8.5</v>
      </c>
      <c r="M64" s="13"/>
    </row>
    <row r="65" spans="1:13" x14ac:dyDescent="0.3">
      <c r="A65" s="3">
        <v>11</v>
      </c>
      <c r="B65" t="str">
        <f>_xlfn.XLOOKUP(A65,'Produtos &amp; Marcas'!A:A,'Produtos &amp; Marcas'!B:B)</f>
        <v>Batata | Batata Asterix selecionada | 1 | Kg</v>
      </c>
      <c r="C65" t="str">
        <f>_xlfn.XLOOKUP(B65,'Produtos &amp; Marcas'!B:B,'Produtos &amp; Marcas'!C:C)</f>
        <v>Batata</v>
      </c>
      <c r="D65" t="str">
        <f>_xlfn.XLOOKUP(B65,'Produtos &amp; Marcas'!B:B,'Produtos &amp; Marcas'!D:D)</f>
        <v>Kg</v>
      </c>
      <c r="E65" s="3">
        <f>_xlfn.XLOOKUP(B65,'Produtos &amp; Marcas'!B:B,'Produtos &amp; Marcas'!E:E)</f>
        <v>1</v>
      </c>
      <c r="F65" s="8">
        <f t="shared" si="0"/>
        <v>6.98</v>
      </c>
      <c r="G65" t="str">
        <f>_xlfn.XLOOKUP(B65,'Produtos &amp; Marcas'!B:B,'Produtos &amp; Marcas'!F:F)</f>
        <v>Batata Asterix selecionada</v>
      </c>
      <c r="H65" t="s">
        <v>25</v>
      </c>
      <c r="I65">
        <f>_xlfn.XLOOKUP(H65,'Base Mercado'!C:C,'Base Mercado'!A:A)</f>
        <v>1</v>
      </c>
      <c r="J65" s="8">
        <v>6.98</v>
      </c>
      <c r="L65" s="8">
        <f t="shared" si="1"/>
        <v>6.98</v>
      </c>
      <c r="M65" s="13"/>
    </row>
    <row r="66" spans="1:13" x14ac:dyDescent="0.3">
      <c r="A66" s="3">
        <v>11</v>
      </c>
      <c r="B66" t="str">
        <f>_xlfn.XLOOKUP(A66,'Produtos &amp; Marcas'!A:A,'Produtos &amp; Marcas'!B:B)</f>
        <v>Batata | Batata Asterix selecionada | 1 | Kg</v>
      </c>
      <c r="C66" t="str">
        <f>_xlfn.XLOOKUP(B66,'Produtos &amp; Marcas'!B:B,'Produtos &amp; Marcas'!C:C)</f>
        <v>Batata</v>
      </c>
      <c r="D66" t="str">
        <f>_xlfn.XLOOKUP(B66,'Produtos &amp; Marcas'!B:B,'Produtos &amp; Marcas'!D:D)</f>
        <v>Kg</v>
      </c>
      <c r="E66" s="3">
        <f>_xlfn.XLOOKUP(B66,'Produtos &amp; Marcas'!B:B,'Produtos &amp; Marcas'!E:E)</f>
        <v>1</v>
      </c>
      <c r="F66" s="8">
        <f t="shared" ref="F66:F129" si="2">J66/E66</f>
        <v>5.98</v>
      </c>
      <c r="G66" t="str">
        <f>_xlfn.XLOOKUP(B66,'Produtos &amp; Marcas'!B:B,'Produtos &amp; Marcas'!F:F)</f>
        <v>Batata Asterix selecionada</v>
      </c>
      <c r="H66" t="s">
        <v>27</v>
      </c>
      <c r="I66">
        <f>_xlfn.XLOOKUP(H66,'Base Mercado'!C:C,'Base Mercado'!A:A)</f>
        <v>2</v>
      </c>
      <c r="J66" s="8">
        <v>5.98</v>
      </c>
      <c r="L66" s="8">
        <f t="shared" si="1"/>
        <v>5.98</v>
      </c>
      <c r="M66" s="13"/>
    </row>
    <row r="67" spans="1:13" x14ac:dyDescent="0.3">
      <c r="A67" s="3">
        <v>11</v>
      </c>
      <c r="B67" t="str">
        <f>_xlfn.XLOOKUP(A67,'Produtos &amp; Marcas'!A:A,'Produtos &amp; Marcas'!B:B)</f>
        <v>Batata | Batata Asterix selecionada | 1 | Kg</v>
      </c>
      <c r="C67" t="str">
        <f>_xlfn.XLOOKUP(B67,'Produtos &amp; Marcas'!B:B,'Produtos &amp; Marcas'!C:C)</f>
        <v>Batata</v>
      </c>
      <c r="D67" t="str">
        <f>_xlfn.XLOOKUP(B67,'Produtos &amp; Marcas'!B:B,'Produtos &amp; Marcas'!D:D)</f>
        <v>Kg</v>
      </c>
      <c r="E67" s="3">
        <f>_xlfn.XLOOKUP(B67,'Produtos &amp; Marcas'!B:B,'Produtos &amp; Marcas'!E:E)</f>
        <v>1</v>
      </c>
      <c r="F67" s="8">
        <f t="shared" si="2"/>
        <v>8.98</v>
      </c>
      <c r="G67" t="str">
        <f>_xlfn.XLOOKUP(B67,'Produtos &amp; Marcas'!B:B,'Produtos &amp; Marcas'!F:F)</f>
        <v>Batata Asterix selecionada</v>
      </c>
      <c r="H67" t="s">
        <v>26</v>
      </c>
      <c r="I67">
        <f>_xlfn.XLOOKUP(H67,'Base Mercado'!C:C,'Base Mercado'!A:A)</f>
        <v>3</v>
      </c>
      <c r="J67" s="8">
        <v>8.98</v>
      </c>
      <c r="K67" s="8">
        <v>8.9</v>
      </c>
      <c r="L67" s="8">
        <f t="shared" ref="L67:L130" si="3">IF(AND(K67&lt;&gt;"",K67&lt;J67),K67,J67)</f>
        <v>8.9</v>
      </c>
      <c r="M67" s="13"/>
    </row>
    <row r="68" spans="1:13" x14ac:dyDescent="0.3">
      <c r="A68" s="3">
        <v>11</v>
      </c>
      <c r="B68" t="str">
        <f>_xlfn.XLOOKUP(A68,'Produtos &amp; Marcas'!A:A,'Produtos &amp; Marcas'!B:B)</f>
        <v>Batata | Batata Asterix selecionada | 1 | Kg</v>
      </c>
      <c r="C68" t="str">
        <f>_xlfn.XLOOKUP(B68,'Produtos &amp; Marcas'!B:B,'Produtos &amp; Marcas'!C:C)</f>
        <v>Batata</v>
      </c>
      <c r="D68" t="str">
        <f>_xlfn.XLOOKUP(B68,'Produtos &amp; Marcas'!B:B,'Produtos &amp; Marcas'!D:D)</f>
        <v>Kg</v>
      </c>
      <c r="E68" s="3">
        <f>_xlfn.XLOOKUP(B68,'Produtos &amp; Marcas'!B:B,'Produtos &amp; Marcas'!E:E)</f>
        <v>1</v>
      </c>
      <c r="F68" s="8">
        <f t="shared" si="2"/>
        <v>6.98</v>
      </c>
      <c r="G68" t="str">
        <f>_xlfn.XLOOKUP(B68,'Produtos &amp; Marcas'!B:B,'Produtos &amp; Marcas'!F:F)</f>
        <v>Batata Asterix selecionada</v>
      </c>
      <c r="H68" t="s">
        <v>28</v>
      </c>
      <c r="I68">
        <f>_xlfn.XLOOKUP(H68,'Base Mercado'!C:C,'Base Mercado'!A:A)</f>
        <v>4</v>
      </c>
      <c r="J68" s="8">
        <v>6.98</v>
      </c>
      <c r="L68" s="8">
        <f t="shared" si="3"/>
        <v>6.98</v>
      </c>
      <c r="M68" s="13"/>
    </row>
    <row r="69" spans="1:13" x14ac:dyDescent="0.3">
      <c r="A69" s="3">
        <v>11</v>
      </c>
      <c r="B69" t="str">
        <f>_xlfn.XLOOKUP(A69,'Produtos &amp; Marcas'!A:A,'Produtos &amp; Marcas'!B:B)</f>
        <v>Batata | Batata Asterix selecionada | 1 | Kg</v>
      </c>
      <c r="C69" t="str">
        <f>_xlfn.XLOOKUP(B69,'Produtos &amp; Marcas'!B:B,'Produtos &amp; Marcas'!C:C)</f>
        <v>Batata</v>
      </c>
      <c r="D69" t="str">
        <f>_xlfn.XLOOKUP(B69,'Produtos &amp; Marcas'!B:B,'Produtos &amp; Marcas'!D:D)</f>
        <v>Kg</v>
      </c>
      <c r="E69" s="3">
        <f>_xlfn.XLOOKUP(B69,'Produtos &amp; Marcas'!B:B,'Produtos &amp; Marcas'!E:E)</f>
        <v>1</v>
      </c>
      <c r="F69" s="8">
        <f t="shared" si="2"/>
        <v>8.98</v>
      </c>
      <c r="G69" t="str">
        <f>_xlfn.XLOOKUP(B69,'Produtos &amp; Marcas'!B:B,'Produtos &amp; Marcas'!F:F)</f>
        <v>Batata Asterix selecionada</v>
      </c>
      <c r="H69" t="s">
        <v>29</v>
      </c>
      <c r="I69">
        <f>_xlfn.XLOOKUP(H69,'Base Mercado'!C:C,'Base Mercado'!A:A)</f>
        <v>5</v>
      </c>
      <c r="J69" s="8">
        <v>8.98</v>
      </c>
      <c r="L69" s="8">
        <f t="shared" si="3"/>
        <v>8.98</v>
      </c>
      <c r="M69" s="13"/>
    </row>
    <row r="70" spans="1:13" x14ac:dyDescent="0.3">
      <c r="A70" s="3">
        <v>11</v>
      </c>
      <c r="B70" t="str">
        <f>_xlfn.XLOOKUP(A70,'Produtos &amp; Marcas'!A:A,'Produtos &amp; Marcas'!B:B)</f>
        <v>Batata | Batata Asterix selecionada | 1 | Kg</v>
      </c>
      <c r="C70" t="str">
        <f>_xlfn.XLOOKUP(B70,'Produtos &amp; Marcas'!B:B,'Produtos &amp; Marcas'!C:C)</f>
        <v>Batata</v>
      </c>
      <c r="D70" t="str">
        <f>_xlfn.XLOOKUP(B70,'Produtos &amp; Marcas'!B:B,'Produtos &amp; Marcas'!D:D)</f>
        <v>Kg</v>
      </c>
      <c r="E70" s="3">
        <f>_xlfn.XLOOKUP(B70,'Produtos &amp; Marcas'!B:B,'Produtos &amp; Marcas'!E:E)</f>
        <v>1</v>
      </c>
      <c r="F70" s="8">
        <f t="shared" si="2"/>
        <v>6.98</v>
      </c>
      <c r="G70" t="str">
        <f>_xlfn.XLOOKUP(B70,'Produtos &amp; Marcas'!B:B,'Produtos &amp; Marcas'!F:F)</f>
        <v>Batata Asterix selecionada</v>
      </c>
      <c r="H70" t="s">
        <v>30</v>
      </c>
      <c r="I70">
        <f>_xlfn.XLOOKUP(H70,'Base Mercado'!C:C,'Base Mercado'!A:A)</f>
        <v>6</v>
      </c>
      <c r="J70" s="8">
        <v>6.98</v>
      </c>
      <c r="L70" s="8">
        <f t="shared" si="3"/>
        <v>6.98</v>
      </c>
      <c r="M70" s="13"/>
    </row>
    <row r="71" spans="1:13" x14ac:dyDescent="0.3">
      <c r="A71" s="3">
        <v>11</v>
      </c>
      <c r="B71" t="str">
        <f>_xlfn.XLOOKUP(A71,'Produtos &amp; Marcas'!A:A,'Produtos &amp; Marcas'!B:B)</f>
        <v>Batata | Batata Asterix selecionada | 1 | Kg</v>
      </c>
      <c r="C71" t="str">
        <f>_xlfn.XLOOKUP(B71,'Produtos &amp; Marcas'!B:B,'Produtos &amp; Marcas'!C:C)</f>
        <v>Batata</v>
      </c>
      <c r="D71" t="str">
        <f>_xlfn.XLOOKUP(B71,'Produtos &amp; Marcas'!B:B,'Produtos &amp; Marcas'!D:D)</f>
        <v>Kg</v>
      </c>
      <c r="E71" s="3">
        <f>_xlfn.XLOOKUP(B71,'Produtos &amp; Marcas'!B:B,'Produtos &amp; Marcas'!E:E)</f>
        <v>1</v>
      </c>
      <c r="F71" s="8">
        <f t="shared" si="2"/>
        <v>6.98</v>
      </c>
      <c r="G71" t="str">
        <f>_xlfn.XLOOKUP(B71,'Produtos &amp; Marcas'!B:B,'Produtos &amp; Marcas'!F:F)</f>
        <v>Batata Asterix selecionada</v>
      </c>
      <c r="H71" t="s">
        <v>31</v>
      </c>
      <c r="I71">
        <f>_xlfn.XLOOKUP(H71,'Base Mercado'!C:C,'Base Mercado'!A:A)</f>
        <v>7</v>
      </c>
      <c r="J71" s="8">
        <v>6.98</v>
      </c>
      <c r="K71" s="8">
        <v>6.9</v>
      </c>
      <c r="L71" s="8">
        <f t="shared" si="3"/>
        <v>6.9</v>
      </c>
      <c r="M71" s="13"/>
    </row>
    <row r="72" spans="1:13" x14ac:dyDescent="0.3">
      <c r="A72" s="3">
        <v>10</v>
      </c>
      <c r="B72" t="str">
        <f>_xlfn.XLOOKUP(A72,'Produtos &amp; Marcas'!A:A,'Produtos &amp; Marcas'!B:B)</f>
        <v>Batata | Batata Inglesa | 1 | Kg</v>
      </c>
      <c r="C72" t="str">
        <f>_xlfn.XLOOKUP(B72,'Produtos &amp; Marcas'!B:B,'Produtos &amp; Marcas'!C:C)</f>
        <v>Batata</v>
      </c>
      <c r="D72" t="str">
        <f>_xlfn.XLOOKUP(B72,'Produtos &amp; Marcas'!B:B,'Produtos &amp; Marcas'!D:D)</f>
        <v>Kg</v>
      </c>
      <c r="E72" s="3">
        <f>_xlfn.XLOOKUP(B72,'Produtos &amp; Marcas'!B:B,'Produtos &amp; Marcas'!E:E)</f>
        <v>1</v>
      </c>
      <c r="F72" s="8">
        <f t="shared" si="2"/>
        <v>4.29</v>
      </c>
      <c r="G72" t="str">
        <f>_xlfn.XLOOKUP(B72,'Produtos &amp; Marcas'!B:B,'Produtos &amp; Marcas'!F:F)</f>
        <v>Batata Inglesa</v>
      </c>
      <c r="H72" t="s">
        <v>25</v>
      </c>
      <c r="I72">
        <f>_xlfn.XLOOKUP(H72,'Base Mercado'!C:C,'Base Mercado'!A:A)</f>
        <v>1</v>
      </c>
      <c r="J72" s="8">
        <v>4.29</v>
      </c>
      <c r="L72" s="8">
        <f t="shared" si="3"/>
        <v>4.29</v>
      </c>
      <c r="M72" s="13"/>
    </row>
    <row r="73" spans="1:13" x14ac:dyDescent="0.3">
      <c r="A73" s="3">
        <v>10</v>
      </c>
      <c r="B73" t="str">
        <f>_xlfn.XLOOKUP(A73,'Produtos &amp; Marcas'!A:A,'Produtos &amp; Marcas'!B:B)</f>
        <v>Batata | Batata Inglesa | 1 | Kg</v>
      </c>
      <c r="C73" t="str">
        <f>_xlfn.XLOOKUP(B73,'Produtos &amp; Marcas'!B:B,'Produtos &amp; Marcas'!C:C)</f>
        <v>Batata</v>
      </c>
      <c r="D73" t="str">
        <f>_xlfn.XLOOKUP(B73,'Produtos &amp; Marcas'!B:B,'Produtos &amp; Marcas'!D:D)</f>
        <v>Kg</v>
      </c>
      <c r="E73" s="3">
        <f>_xlfn.XLOOKUP(B73,'Produtos &amp; Marcas'!B:B,'Produtos &amp; Marcas'!E:E)</f>
        <v>1</v>
      </c>
      <c r="F73" s="8">
        <f t="shared" si="2"/>
        <v>6.29</v>
      </c>
      <c r="G73" t="str">
        <f>_xlfn.XLOOKUP(B73,'Produtos &amp; Marcas'!B:B,'Produtos &amp; Marcas'!F:F)</f>
        <v>Batata Inglesa</v>
      </c>
      <c r="H73" t="s">
        <v>27</v>
      </c>
      <c r="I73">
        <f>_xlfn.XLOOKUP(H73,'Base Mercado'!C:C,'Base Mercado'!A:A)</f>
        <v>2</v>
      </c>
      <c r="J73" s="8">
        <v>6.29</v>
      </c>
      <c r="L73" s="8">
        <f t="shared" si="3"/>
        <v>6.29</v>
      </c>
      <c r="M73" s="13"/>
    </row>
    <row r="74" spans="1:13" x14ac:dyDescent="0.3">
      <c r="A74" s="3">
        <v>10</v>
      </c>
      <c r="B74" t="str">
        <f>_xlfn.XLOOKUP(A74,'Produtos &amp; Marcas'!A:A,'Produtos &amp; Marcas'!B:B)</f>
        <v>Batata | Batata Inglesa | 1 | Kg</v>
      </c>
      <c r="C74" t="str">
        <f>_xlfn.XLOOKUP(B74,'Produtos &amp; Marcas'!B:B,'Produtos &amp; Marcas'!C:C)</f>
        <v>Batata</v>
      </c>
      <c r="D74" t="str">
        <f>_xlfn.XLOOKUP(B74,'Produtos &amp; Marcas'!B:B,'Produtos &amp; Marcas'!D:D)</f>
        <v>Kg</v>
      </c>
      <c r="E74" s="3">
        <f>_xlfn.XLOOKUP(B74,'Produtos &amp; Marcas'!B:B,'Produtos &amp; Marcas'!E:E)</f>
        <v>1</v>
      </c>
      <c r="F74" s="8">
        <f t="shared" si="2"/>
        <v>4.29</v>
      </c>
      <c r="G74" t="str">
        <f>_xlfn.XLOOKUP(B74,'Produtos &amp; Marcas'!B:B,'Produtos &amp; Marcas'!F:F)</f>
        <v>Batata Inglesa</v>
      </c>
      <c r="H74" t="s">
        <v>26</v>
      </c>
      <c r="I74">
        <f>_xlfn.XLOOKUP(H74,'Base Mercado'!C:C,'Base Mercado'!A:A)</f>
        <v>3</v>
      </c>
      <c r="J74" s="8">
        <v>4.29</v>
      </c>
      <c r="L74" s="8">
        <f t="shared" si="3"/>
        <v>4.29</v>
      </c>
      <c r="M74" s="13"/>
    </row>
    <row r="75" spans="1:13" x14ac:dyDescent="0.3">
      <c r="A75" s="3">
        <v>10</v>
      </c>
      <c r="B75" t="str">
        <f>_xlfn.XLOOKUP(A75,'Produtos &amp; Marcas'!A:A,'Produtos &amp; Marcas'!B:B)</f>
        <v>Batata | Batata Inglesa | 1 | Kg</v>
      </c>
      <c r="C75" t="str">
        <f>_xlfn.XLOOKUP(B75,'Produtos &amp; Marcas'!B:B,'Produtos &amp; Marcas'!C:C)</f>
        <v>Batata</v>
      </c>
      <c r="D75" t="str">
        <f>_xlfn.XLOOKUP(B75,'Produtos &amp; Marcas'!B:B,'Produtos &amp; Marcas'!D:D)</f>
        <v>Kg</v>
      </c>
      <c r="E75" s="3">
        <f>_xlfn.XLOOKUP(B75,'Produtos &amp; Marcas'!B:B,'Produtos &amp; Marcas'!E:E)</f>
        <v>1</v>
      </c>
      <c r="F75" s="8">
        <f t="shared" si="2"/>
        <v>5.29</v>
      </c>
      <c r="G75" t="str">
        <f>_xlfn.XLOOKUP(B75,'Produtos &amp; Marcas'!B:B,'Produtos &amp; Marcas'!F:F)</f>
        <v>Batata Inglesa</v>
      </c>
      <c r="H75" t="s">
        <v>28</v>
      </c>
      <c r="I75">
        <f>_xlfn.XLOOKUP(H75,'Base Mercado'!C:C,'Base Mercado'!A:A)</f>
        <v>4</v>
      </c>
      <c r="J75" s="8">
        <v>5.29</v>
      </c>
      <c r="L75" s="8">
        <f t="shared" si="3"/>
        <v>5.29</v>
      </c>
      <c r="M75" s="13"/>
    </row>
    <row r="76" spans="1:13" x14ac:dyDescent="0.3">
      <c r="A76" s="3">
        <v>10</v>
      </c>
      <c r="B76" t="str">
        <f>_xlfn.XLOOKUP(A76,'Produtos &amp; Marcas'!A:A,'Produtos &amp; Marcas'!B:B)</f>
        <v>Batata | Batata Inglesa | 1 | Kg</v>
      </c>
      <c r="C76" t="str">
        <f>_xlfn.XLOOKUP(B76,'Produtos &amp; Marcas'!B:B,'Produtos &amp; Marcas'!C:C)</f>
        <v>Batata</v>
      </c>
      <c r="D76" t="str">
        <f>_xlfn.XLOOKUP(B76,'Produtos &amp; Marcas'!B:B,'Produtos &amp; Marcas'!D:D)</f>
        <v>Kg</v>
      </c>
      <c r="E76" s="3">
        <f>_xlfn.XLOOKUP(B76,'Produtos &amp; Marcas'!B:B,'Produtos &amp; Marcas'!E:E)</f>
        <v>1</v>
      </c>
      <c r="F76" s="8">
        <f t="shared" si="2"/>
        <v>4.29</v>
      </c>
      <c r="G76" t="str">
        <f>_xlfn.XLOOKUP(B76,'Produtos &amp; Marcas'!B:B,'Produtos &amp; Marcas'!F:F)</f>
        <v>Batata Inglesa</v>
      </c>
      <c r="H76" t="s">
        <v>29</v>
      </c>
      <c r="I76">
        <f>_xlfn.XLOOKUP(H76,'Base Mercado'!C:C,'Base Mercado'!A:A)</f>
        <v>5</v>
      </c>
      <c r="J76" s="8">
        <v>4.29</v>
      </c>
      <c r="L76" s="8">
        <f t="shared" si="3"/>
        <v>4.29</v>
      </c>
      <c r="M76" s="13"/>
    </row>
    <row r="77" spans="1:13" x14ac:dyDescent="0.3">
      <c r="A77" s="3">
        <v>10</v>
      </c>
      <c r="B77" t="str">
        <f>_xlfn.XLOOKUP(A77,'Produtos &amp; Marcas'!A:A,'Produtos &amp; Marcas'!B:B)</f>
        <v>Batata | Batata Inglesa | 1 | Kg</v>
      </c>
      <c r="C77" t="str">
        <f>_xlfn.XLOOKUP(B77,'Produtos &amp; Marcas'!B:B,'Produtos &amp; Marcas'!C:C)</f>
        <v>Batata</v>
      </c>
      <c r="D77" t="str">
        <f>_xlfn.XLOOKUP(B77,'Produtos &amp; Marcas'!B:B,'Produtos &amp; Marcas'!D:D)</f>
        <v>Kg</v>
      </c>
      <c r="E77" s="3">
        <f>_xlfn.XLOOKUP(B77,'Produtos &amp; Marcas'!B:B,'Produtos &amp; Marcas'!E:E)</f>
        <v>1</v>
      </c>
      <c r="F77" s="8">
        <f t="shared" si="2"/>
        <v>4.29</v>
      </c>
      <c r="G77" t="str">
        <f>_xlfn.XLOOKUP(B77,'Produtos &amp; Marcas'!B:B,'Produtos &amp; Marcas'!F:F)</f>
        <v>Batata Inglesa</v>
      </c>
      <c r="H77" t="s">
        <v>30</v>
      </c>
      <c r="I77">
        <f>_xlfn.XLOOKUP(H77,'Base Mercado'!C:C,'Base Mercado'!A:A)</f>
        <v>6</v>
      </c>
      <c r="J77" s="8">
        <v>4.29</v>
      </c>
      <c r="L77" s="8">
        <f t="shared" si="3"/>
        <v>4.29</v>
      </c>
      <c r="M77" s="13"/>
    </row>
    <row r="78" spans="1:13" x14ac:dyDescent="0.3">
      <c r="A78" s="3">
        <v>10</v>
      </c>
      <c r="B78" t="str">
        <f>_xlfn.XLOOKUP(A78,'Produtos &amp; Marcas'!A:A,'Produtos &amp; Marcas'!B:B)</f>
        <v>Batata | Batata Inglesa | 1 | Kg</v>
      </c>
      <c r="C78" t="str">
        <f>_xlfn.XLOOKUP(B78,'Produtos &amp; Marcas'!B:B,'Produtos &amp; Marcas'!C:C)</f>
        <v>Batata</v>
      </c>
      <c r="D78" t="str">
        <f>_xlfn.XLOOKUP(B78,'Produtos &amp; Marcas'!B:B,'Produtos &amp; Marcas'!D:D)</f>
        <v>Kg</v>
      </c>
      <c r="E78" s="3">
        <f>_xlfn.XLOOKUP(B78,'Produtos &amp; Marcas'!B:B,'Produtos &amp; Marcas'!E:E)</f>
        <v>1</v>
      </c>
      <c r="F78" s="8">
        <f t="shared" si="2"/>
        <v>6.29</v>
      </c>
      <c r="G78" t="str">
        <f>_xlfn.XLOOKUP(B78,'Produtos &amp; Marcas'!B:B,'Produtos &amp; Marcas'!F:F)</f>
        <v>Batata Inglesa</v>
      </c>
      <c r="H78" t="s">
        <v>31</v>
      </c>
      <c r="I78">
        <f>_xlfn.XLOOKUP(H78,'Base Mercado'!C:C,'Base Mercado'!A:A)</f>
        <v>7</v>
      </c>
      <c r="J78" s="8">
        <v>6.29</v>
      </c>
      <c r="K78" s="8">
        <v>6.19</v>
      </c>
      <c r="L78" s="8">
        <f t="shared" si="3"/>
        <v>6.19</v>
      </c>
      <c r="M78" s="13"/>
    </row>
    <row r="79" spans="1:13" x14ac:dyDescent="0.3">
      <c r="A79" s="3">
        <v>12</v>
      </c>
      <c r="B79" t="str">
        <f>_xlfn.XLOOKUP(A79,'Produtos &amp; Marcas'!A:A,'Produtos &amp; Marcas'!B:B)</f>
        <v>Batata | Batata doce | 1 | Kg</v>
      </c>
      <c r="C79" t="str">
        <f>_xlfn.XLOOKUP(B79,'Produtos &amp; Marcas'!B:B,'Produtos &amp; Marcas'!C:C)</f>
        <v>Batata</v>
      </c>
      <c r="D79" t="str">
        <f>_xlfn.XLOOKUP(B79,'Produtos &amp; Marcas'!B:B,'Produtos &amp; Marcas'!D:D)</f>
        <v>Kg</v>
      </c>
      <c r="E79" s="3">
        <f>_xlfn.XLOOKUP(B79,'Produtos &amp; Marcas'!B:B,'Produtos &amp; Marcas'!E:E)</f>
        <v>1</v>
      </c>
      <c r="F79" s="8">
        <f t="shared" si="2"/>
        <v>4.6500000000000004</v>
      </c>
      <c r="G79" t="str">
        <f>_xlfn.XLOOKUP(B79,'Produtos &amp; Marcas'!B:B,'Produtos &amp; Marcas'!F:F)</f>
        <v>Batata doce</v>
      </c>
      <c r="H79" t="s">
        <v>25</v>
      </c>
      <c r="I79">
        <f>_xlfn.XLOOKUP(H79,'Base Mercado'!C:C,'Base Mercado'!A:A)</f>
        <v>1</v>
      </c>
      <c r="J79" s="8">
        <v>4.6500000000000004</v>
      </c>
      <c r="K79" s="8">
        <v>4.5500000000000007</v>
      </c>
      <c r="L79" s="8">
        <f t="shared" si="3"/>
        <v>4.5500000000000007</v>
      </c>
      <c r="M79" s="13"/>
    </row>
    <row r="80" spans="1:13" x14ac:dyDescent="0.3">
      <c r="A80" s="3">
        <v>12</v>
      </c>
      <c r="B80" t="str">
        <f>_xlfn.XLOOKUP(A80,'Produtos &amp; Marcas'!A:A,'Produtos &amp; Marcas'!B:B)</f>
        <v>Batata | Batata doce | 1 | Kg</v>
      </c>
      <c r="C80" t="str">
        <f>_xlfn.XLOOKUP(B80,'Produtos &amp; Marcas'!B:B,'Produtos &amp; Marcas'!C:C)</f>
        <v>Batata</v>
      </c>
      <c r="D80" t="str">
        <f>_xlfn.XLOOKUP(B80,'Produtos &amp; Marcas'!B:B,'Produtos &amp; Marcas'!D:D)</f>
        <v>Kg</v>
      </c>
      <c r="E80" s="3">
        <f>_xlfn.XLOOKUP(B80,'Produtos &amp; Marcas'!B:B,'Produtos &amp; Marcas'!E:E)</f>
        <v>1</v>
      </c>
      <c r="F80" s="8">
        <f t="shared" si="2"/>
        <v>6.65</v>
      </c>
      <c r="G80" t="str">
        <f>_xlfn.XLOOKUP(B80,'Produtos &amp; Marcas'!B:B,'Produtos &amp; Marcas'!F:F)</f>
        <v>Batata doce</v>
      </c>
      <c r="H80" t="s">
        <v>27</v>
      </c>
      <c r="I80">
        <f>_xlfn.XLOOKUP(H80,'Base Mercado'!C:C,'Base Mercado'!A:A)</f>
        <v>2</v>
      </c>
      <c r="J80" s="8">
        <v>6.65</v>
      </c>
      <c r="K80" s="8">
        <v>6.5500000000000007</v>
      </c>
      <c r="L80" s="8">
        <f t="shared" si="3"/>
        <v>6.5500000000000007</v>
      </c>
      <c r="M80" s="13"/>
    </row>
    <row r="81" spans="1:13" x14ac:dyDescent="0.3">
      <c r="A81" s="3">
        <v>12</v>
      </c>
      <c r="B81" t="str">
        <f>_xlfn.XLOOKUP(A81,'Produtos &amp; Marcas'!A:A,'Produtos &amp; Marcas'!B:B)</f>
        <v>Batata | Batata doce | 1 | Kg</v>
      </c>
      <c r="C81" t="str">
        <f>_xlfn.XLOOKUP(B81,'Produtos &amp; Marcas'!B:B,'Produtos &amp; Marcas'!C:C)</f>
        <v>Batata</v>
      </c>
      <c r="D81" t="str">
        <f>_xlfn.XLOOKUP(B81,'Produtos &amp; Marcas'!B:B,'Produtos &amp; Marcas'!D:D)</f>
        <v>Kg</v>
      </c>
      <c r="E81" s="3">
        <f>_xlfn.XLOOKUP(B81,'Produtos &amp; Marcas'!B:B,'Produtos &amp; Marcas'!E:E)</f>
        <v>1</v>
      </c>
      <c r="F81" s="8">
        <f t="shared" si="2"/>
        <v>3.6500000000000004</v>
      </c>
      <c r="G81" t="str">
        <f>_xlfn.XLOOKUP(B81,'Produtos &amp; Marcas'!B:B,'Produtos &amp; Marcas'!F:F)</f>
        <v>Batata doce</v>
      </c>
      <c r="H81" t="s">
        <v>26</v>
      </c>
      <c r="I81">
        <f>_xlfn.XLOOKUP(H81,'Base Mercado'!C:C,'Base Mercado'!A:A)</f>
        <v>3</v>
      </c>
      <c r="J81" s="8">
        <v>3.6500000000000004</v>
      </c>
      <c r="K81" s="8">
        <v>3.49</v>
      </c>
      <c r="L81" s="8">
        <f t="shared" si="3"/>
        <v>3.49</v>
      </c>
      <c r="M81" s="13"/>
    </row>
    <row r="82" spans="1:13" x14ac:dyDescent="0.3">
      <c r="A82" s="3">
        <v>12</v>
      </c>
      <c r="B82" t="str">
        <f>_xlfn.XLOOKUP(A82,'Produtos &amp; Marcas'!A:A,'Produtos &amp; Marcas'!B:B)</f>
        <v>Batata | Batata doce | 1 | Kg</v>
      </c>
      <c r="C82" t="str">
        <f>_xlfn.XLOOKUP(B82,'Produtos &amp; Marcas'!B:B,'Produtos &amp; Marcas'!C:C)</f>
        <v>Batata</v>
      </c>
      <c r="D82" t="str">
        <f>_xlfn.XLOOKUP(B82,'Produtos &amp; Marcas'!B:B,'Produtos &amp; Marcas'!D:D)</f>
        <v>Kg</v>
      </c>
      <c r="E82" s="3">
        <f>_xlfn.XLOOKUP(B82,'Produtos &amp; Marcas'!B:B,'Produtos &amp; Marcas'!E:E)</f>
        <v>1</v>
      </c>
      <c r="F82" s="8">
        <f t="shared" si="2"/>
        <v>5.65</v>
      </c>
      <c r="G82" t="str">
        <f>_xlfn.XLOOKUP(B82,'Produtos &amp; Marcas'!B:B,'Produtos &amp; Marcas'!F:F)</f>
        <v>Batata doce</v>
      </c>
      <c r="H82" t="s">
        <v>28</v>
      </c>
      <c r="I82">
        <f>_xlfn.XLOOKUP(H82,'Base Mercado'!C:C,'Base Mercado'!A:A)</f>
        <v>4</v>
      </c>
      <c r="J82" s="8">
        <v>5.65</v>
      </c>
      <c r="K82" s="8">
        <v>5.49</v>
      </c>
      <c r="L82" s="8">
        <f t="shared" si="3"/>
        <v>5.49</v>
      </c>
      <c r="M82" s="13"/>
    </row>
    <row r="83" spans="1:13" x14ac:dyDescent="0.3">
      <c r="A83" s="3">
        <v>12</v>
      </c>
      <c r="B83" t="str">
        <f>_xlfn.XLOOKUP(A83,'Produtos &amp; Marcas'!A:A,'Produtos &amp; Marcas'!B:B)</f>
        <v>Batata | Batata doce | 1 | Kg</v>
      </c>
      <c r="C83" t="str">
        <f>_xlfn.XLOOKUP(B83,'Produtos &amp; Marcas'!B:B,'Produtos &amp; Marcas'!C:C)</f>
        <v>Batata</v>
      </c>
      <c r="D83" t="str">
        <f>_xlfn.XLOOKUP(B83,'Produtos &amp; Marcas'!B:B,'Produtos &amp; Marcas'!D:D)</f>
        <v>Kg</v>
      </c>
      <c r="E83" s="3">
        <f>_xlfn.XLOOKUP(B83,'Produtos &amp; Marcas'!B:B,'Produtos &amp; Marcas'!E:E)</f>
        <v>1</v>
      </c>
      <c r="F83" s="8">
        <f t="shared" si="2"/>
        <v>4.6500000000000004</v>
      </c>
      <c r="G83" t="str">
        <f>_xlfn.XLOOKUP(B83,'Produtos &amp; Marcas'!B:B,'Produtos &amp; Marcas'!F:F)</f>
        <v>Batata doce</v>
      </c>
      <c r="H83" t="s">
        <v>29</v>
      </c>
      <c r="I83">
        <f>_xlfn.XLOOKUP(H83,'Base Mercado'!C:C,'Base Mercado'!A:A)</f>
        <v>5</v>
      </c>
      <c r="J83" s="8">
        <v>4.6500000000000004</v>
      </c>
      <c r="K83" s="8">
        <v>4.49</v>
      </c>
      <c r="L83" s="8">
        <f t="shared" si="3"/>
        <v>4.49</v>
      </c>
      <c r="M83" s="13"/>
    </row>
    <row r="84" spans="1:13" x14ac:dyDescent="0.3">
      <c r="A84" s="3">
        <v>12</v>
      </c>
      <c r="B84" t="str">
        <f>_xlfn.XLOOKUP(A84,'Produtos &amp; Marcas'!A:A,'Produtos &amp; Marcas'!B:B)</f>
        <v>Batata | Batata doce | 1 | Kg</v>
      </c>
      <c r="C84" t="str">
        <f>_xlfn.XLOOKUP(B84,'Produtos &amp; Marcas'!B:B,'Produtos &amp; Marcas'!C:C)</f>
        <v>Batata</v>
      </c>
      <c r="D84" t="str">
        <f>_xlfn.XLOOKUP(B84,'Produtos &amp; Marcas'!B:B,'Produtos &amp; Marcas'!D:D)</f>
        <v>Kg</v>
      </c>
      <c r="E84" s="3">
        <f>_xlfn.XLOOKUP(B84,'Produtos &amp; Marcas'!B:B,'Produtos &amp; Marcas'!E:E)</f>
        <v>1</v>
      </c>
      <c r="F84" s="8">
        <f t="shared" si="2"/>
        <v>6.65</v>
      </c>
      <c r="G84" t="str">
        <f>_xlfn.XLOOKUP(B84,'Produtos &amp; Marcas'!B:B,'Produtos &amp; Marcas'!F:F)</f>
        <v>Batata doce</v>
      </c>
      <c r="H84" t="s">
        <v>30</v>
      </c>
      <c r="I84">
        <f>_xlfn.XLOOKUP(H84,'Base Mercado'!C:C,'Base Mercado'!A:A)</f>
        <v>6</v>
      </c>
      <c r="J84" s="8">
        <v>6.65</v>
      </c>
      <c r="L84" s="8">
        <f t="shared" si="3"/>
        <v>6.65</v>
      </c>
      <c r="M84" s="13"/>
    </row>
    <row r="85" spans="1:13" x14ac:dyDescent="0.3">
      <c r="A85" s="3">
        <v>12</v>
      </c>
      <c r="B85" t="str">
        <f>_xlfn.XLOOKUP(A85,'Produtos &amp; Marcas'!A:A,'Produtos &amp; Marcas'!B:B)</f>
        <v>Batata | Batata doce | 1 | Kg</v>
      </c>
      <c r="C85" t="str">
        <f>_xlfn.XLOOKUP(B85,'Produtos &amp; Marcas'!B:B,'Produtos &amp; Marcas'!C:C)</f>
        <v>Batata</v>
      </c>
      <c r="D85" t="str">
        <f>_xlfn.XLOOKUP(B85,'Produtos &amp; Marcas'!B:B,'Produtos &amp; Marcas'!D:D)</f>
        <v>Kg</v>
      </c>
      <c r="E85" s="3">
        <f>_xlfn.XLOOKUP(B85,'Produtos &amp; Marcas'!B:B,'Produtos &amp; Marcas'!E:E)</f>
        <v>1</v>
      </c>
      <c r="F85" s="8">
        <f t="shared" si="2"/>
        <v>5.65</v>
      </c>
      <c r="G85" t="str">
        <f>_xlfn.XLOOKUP(B85,'Produtos &amp; Marcas'!B:B,'Produtos &amp; Marcas'!F:F)</f>
        <v>Batata doce</v>
      </c>
      <c r="H85" t="s">
        <v>31</v>
      </c>
      <c r="I85">
        <f>_xlfn.XLOOKUP(H85,'Base Mercado'!C:C,'Base Mercado'!A:A)</f>
        <v>7</v>
      </c>
      <c r="J85" s="8">
        <v>5.65</v>
      </c>
      <c r="L85" s="8">
        <f t="shared" si="3"/>
        <v>5.65</v>
      </c>
      <c r="M85" s="13"/>
    </row>
    <row r="86" spans="1:13" x14ac:dyDescent="0.3">
      <c r="A86" s="3">
        <v>14</v>
      </c>
      <c r="B86" t="str">
        <f>_xlfn.XLOOKUP(A86,'Produtos &amp; Marcas'!A:A,'Produtos &amp; Marcas'!B:B)</f>
        <v>Café em pó | 3 Corações | 1 | Kg</v>
      </c>
      <c r="C86" t="str">
        <f>_xlfn.XLOOKUP(B86,'Produtos &amp; Marcas'!B:B,'Produtos &amp; Marcas'!C:C)</f>
        <v>Café em pó</v>
      </c>
      <c r="D86" t="str">
        <f>_xlfn.XLOOKUP(B86,'Produtos &amp; Marcas'!B:B,'Produtos &amp; Marcas'!D:D)</f>
        <v>Kg</v>
      </c>
      <c r="E86" s="3">
        <f>_xlfn.XLOOKUP(B86,'Produtos &amp; Marcas'!B:B,'Produtos &amp; Marcas'!E:E)</f>
        <v>1</v>
      </c>
      <c r="F86" s="8">
        <f t="shared" si="2"/>
        <v>31.99</v>
      </c>
      <c r="G86" t="str">
        <f>_xlfn.XLOOKUP(B86,'Produtos &amp; Marcas'!B:B,'Produtos &amp; Marcas'!F:F)</f>
        <v>3 Corações</v>
      </c>
      <c r="H86" t="s">
        <v>25</v>
      </c>
      <c r="I86">
        <f>_xlfn.XLOOKUP(H86,'Base Mercado'!C:C,'Base Mercado'!A:A)</f>
        <v>1</v>
      </c>
      <c r="J86" s="8">
        <v>31.99</v>
      </c>
      <c r="L86" s="8">
        <f t="shared" si="3"/>
        <v>31.99</v>
      </c>
      <c r="M86" s="13"/>
    </row>
    <row r="87" spans="1:13" x14ac:dyDescent="0.3">
      <c r="A87" s="3">
        <v>14</v>
      </c>
      <c r="B87" t="str">
        <f>_xlfn.XLOOKUP(A87,'Produtos &amp; Marcas'!A:A,'Produtos &amp; Marcas'!B:B)</f>
        <v>Café em pó | 3 Corações | 1 | Kg</v>
      </c>
      <c r="C87" t="str">
        <f>_xlfn.XLOOKUP(B87,'Produtos &amp; Marcas'!B:B,'Produtos &amp; Marcas'!C:C)</f>
        <v>Café em pó</v>
      </c>
      <c r="D87" t="str">
        <f>_xlfn.XLOOKUP(B87,'Produtos &amp; Marcas'!B:B,'Produtos &amp; Marcas'!D:D)</f>
        <v>Kg</v>
      </c>
      <c r="E87" s="3">
        <f>_xlfn.XLOOKUP(B87,'Produtos &amp; Marcas'!B:B,'Produtos &amp; Marcas'!E:E)</f>
        <v>1</v>
      </c>
      <c r="F87" s="8">
        <f t="shared" si="2"/>
        <v>32.989999999999995</v>
      </c>
      <c r="G87" t="str">
        <f>_xlfn.XLOOKUP(B87,'Produtos &amp; Marcas'!B:B,'Produtos &amp; Marcas'!F:F)</f>
        <v>3 Corações</v>
      </c>
      <c r="H87" t="s">
        <v>27</v>
      </c>
      <c r="I87">
        <f>_xlfn.XLOOKUP(H87,'Base Mercado'!C:C,'Base Mercado'!A:A)</f>
        <v>2</v>
      </c>
      <c r="J87" s="8">
        <v>32.989999999999995</v>
      </c>
      <c r="L87" s="8">
        <f t="shared" si="3"/>
        <v>32.989999999999995</v>
      </c>
      <c r="M87" s="13"/>
    </row>
    <row r="88" spans="1:13" x14ac:dyDescent="0.3">
      <c r="A88" s="3">
        <v>14</v>
      </c>
      <c r="B88" t="str">
        <f>_xlfn.XLOOKUP(A88,'Produtos &amp; Marcas'!A:A,'Produtos &amp; Marcas'!B:B)</f>
        <v>Café em pó | 3 Corações | 1 | Kg</v>
      </c>
      <c r="C88" t="str">
        <f>_xlfn.XLOOKUP(B88,'Produtos &amp; Marcas'!B:B,'Produtos &amp; Marcas'!C:C)</f>
        <v>Café em pó</v>
      </c>
      <c r="D88" t="str">
        <f>_xlfn.XLOOKUP(B88,'Produtos &amp; Marcas'!B:B,'Produtos &amp; Marcas'!D:D)</f>
        <v>Kg</v>
      </c>
      <c r="E88" s="3">
        <f>_xlfn.XLOOKUP(B88,'Produtos &amp; Marcas'!B:B,'Produtos &amp; Marcas'!E:E)</f>
        <v>1</v>
      </c>
      <c r="F88" s="8">
        <f t="shared" si="2"/>
        <v>33.989999999999995</v>
      </c>
      <c r="G88" t="str">
        <f>_xlfn.XLOOKUP(B88,'Produtos &amp; Marcas'!B:B,'Produtos &amp; Marcas'!F:F)</f>
        <v>3 Corações</v>
      </c>
      <c r="H88" t="s">
        <v>26</v>
      </c>
      <c r="I88">
        <f>_xlfn.XLOOKUP(H88,'Base Mercado'!C:C,'Base Mercado'!A:A)</f>
        <v>3</v>
      </c>
      <c r="J88" s="8">
        <v>33.989999999999995</v>
      </c>
      <c r="L88" s="8">
        <f t="shared" si="3"/>
        <v>33.989999999999995</v>
      </c>
      <c r="M88" s="13"/>
    </row>
    <row r="89" spans="1:13" x14ac:dyDescent="0.3">
      <c r="A89" s="3">
        <v>14</v>
      </c>
      <c r="B89" t="str">
        <f>_xlfn.XLOOKUP(A89,'Produtos &amp; Marcas'!A:A,'Produtos &amp; Marcas'!B:B)</f>
        <v>Café em pó | 3 Corações | 1 | Kg</v>
      </c>
      <c r="C89" t="str">
        <f>_xlfn.XLOOKUP(B89,'Produtos &amp; Marcas'!B:B,'Produtos &amp; Marcas'!C:C)</f>
        <v>Café em pó</v>
      </c>
      <c r="D89" t="str">
        <f>_xlfn.XLOOKUP(B89,'Produtos &amp; Marcas'!B:B,'Produtos &amp; Marcas'!D:D)</f>
        <v>Kg</v>
      </c>
      <c r="E89" s="3">
        <f>_xlfn.XLOOKUP(B89,'Produtos &amp; Marcas'!B:B,'Produtos &amp; Marcas'!E:E)</f>
        <v>1</v>
      </c>
      <c r="F89" s="8">
        <f t="shared" si="2"/>
        <v>31.99</v>
      </c>
      <c r="G89" t="str">
        <f>_xlfn.XLOOKUP(B89,'Produtos &amp; Marcas'!B:B,'Produtos &amp; Marcas'!F:F)</f>
        <v>3 Corações</v>
      </c>
      <c r="H89" t="s">
        <v>28</v>
      </c>
      <c r="I89">
        <f>_xlfn.XLOOKUP(H89,'Base Mercado'!C:C,'Base Mercado'!A:A)</f>
        <v>4</v>
      </c>
      <c r="J89" s="8">
        <v>31.99</v>
      </c>
      <c r="L89" s="8">
        <f t="shared" si="3"/>
        <v>31.99</v>
      </c>
      <c r="M89" s="13"/>
    </row>
    <row r="90" spans="1:13" x14ac:dyDescent="0.3">
      <c r="A90" s="3">
        <v>14</v>
      </c>
      <c r="B90" t="str">
        <f>_xlfn.XLOOKUP(A90,'Produtos &amp; Marcas'!A:A,'Produtos &amp; Marcas'!B:B)</f>
        <v>Café em pó | 3 Corações | 1 | Kg</v>
      </c>
      <c r="C90" t="str">
        <f>_xlfn.XLOOKUP(B90,'Produtos &amp; Marcas'!B:B,'Produtos &amp; Marcas'!C:C)</f>
        <v>Café em pó</v>
      </c>
      <c r="D90" t="str">
        <f>_xlfn.XLOOKUP(B90,'Produtos &amp; Marcas'!B:B,'Produtos &amp; Marcas'!D:D)</f>
        <v>Kg</v>
      </c>
      <c r="E90" s="3">
        <f>_xlfn.XLOOKUP(B90,'Produtos &amp; Marcas'!B:B,'Produtos &amp; Marcas'!E:E)</f>
        <v>1</v>
      </c>
      <c r="F90" s="8">
        <f t="shared" si="2"/>
        <v>31.99</v>
      </c>
      <c r="G90" t="str">
        <f>_xlfn.XLOOKUP(B90,'Produtos &amp; Marcas'!B:B,'Produtos &amp; Marcas'!F:F)</f>
        <v>3 Corações</v>
      </c>
      <c r="H90" t="s">
        <v>29</v>
      </c>
      <c r="I90">
        <f>_xlfn.XLOOKUP(H90,'Base Mercado'!C:C,'Base Mercado'!A:A)</f>
        <v>5</v>
      </c>
      <c r="J90" s="8">
        <v>31.99</v>
      </c>
      <c r="L90" s="8">
        <f t="shared" si="3"/>
        <v>31.99</v>
      </c>
      <c r="M90" s="13"/>
    </row>
    <row r="91" spans="1:13" x14ac:dyDescent="0.3">
      <c r="A91" s="3">
        <v>14</v>
      </c>
      <c r="B91" t="str">
        <f>_xlfn.XLOOKUP(A91,'Produtos &amp; Marcas'!A:A,'Produtos &amp; Marcas'!B:B)</f>
        <v>Café em pó | 3 Corações | 1 | Kg</v>
      </c>
      <c r="C91" t="str">
        <f>_xlfn.XLOOKUP(B91,'Produtos &amp; Marcas'!B:B,'Produtos &amp; Marcas'!C:C)</f>
        <v>Café em pó</v>
      </c>
      <c r="D91" t="str">
        <f>_xlfn.XLOOKUP(B91,'Produtos &amp; Marcas'!B:B,'Produtos &amp; Marcas'!D:D)</f>
        <v>Kg</v>
      </c>
      <c r="E91" s="3">
        <f>_xlfn.XLOOKUP(B91,'Produtos &amp; Marcas'!B:B,'Produtos &amp; Marcas'!E:E)</f>
        <v>1</v>
      </c>
      <c r="F91" s="8">
        <f t="shared" si="2"/>
        <v>33.989999999999995</v>
      </c>
      <c r="G91" t="str">
        <f>_xlfn.XLOOKUP(B91,'Produtos &amp; Marcas'!B:B,'Produtos &amp; Marcas'!F:F)</f>
        <v>3 Corações</v>
      </c>
      <c r="H91" t="s">
        <v>30</v>
      </c>
      <c r="I91">
        <f>_xlfn.XLOOKUP(H91,'Base Mercado'!C:C,'Base Mercado'!A:A)</f>
        <v>6</v>
      </c>
      <c r="J91" s="8">
        <v>33.989999999999995</v>
      </c>
      <c r="L91" s="8">
        <f t="shared" si="3"/>
        <v>33.989999999999995</v>
      </c>
      <c r="M91" s="13"/>
    </row>
    <row r="92" spans="1:13" x14ac:dyDescent="0.3">
      <c r="A92" s="3">
        <v>14</v>
      </c>
      <c r="B92" t="str">
        <f>_xlfn.XLOOKUP(A92,'Produtos &amp; Marcas'!A:A,'Produtos &amp; Marcas'!B:B)</f>
        <v>Café em pó | 3 Corações | 1 | Kg</v>
      </c>
      <c r="C92" t="str">
        <f>_xlfn.XLOOKUP(B92,'Produtos &amp; Marcas'!B:B,'Produtos &amp; Marcas'!C:C)</f>
        <v>Café em pó</v>
      </c>
      <c r="D92" t="str">
        <f>_xlfn.XLOOKUP(B92,'Produtos &amp; Marcas'!B:B,'Produtos &amp; Marcas'!D:D)</f>
        <v>Kg</v>
      </c>
      <c r="E92" s="3">
        <f>_xlfn.XLOOKUP(B92,'Produtos &amp; Marcas'!B:B,'Produtos &amp; Marcas'!E:E)</f>
        <v>1</v>
      </c>
      <c r="F92" s="8">
        <f t="shared" si="2"/>
        <v>32.989999999999995</v>
      </c>
      <c r="G92" t="str">
        <f>_xlfn.XLOOKUP(B92,'Produtos &amp; Marcas'!B:B,'Produtos &amp; Marcas'!F:F)</f>
        <v>3 Corações</v>
      </c>
      <c r="H92" t="s">
        <v>31</v>
      </c>
      <c r="I92">
        <f>_xlfn.XLOOKUP(H92,'Base Mercado'!C:C,'Base Mercado'!A:A)</f>
        <v>7</v>
      </c>
      <c r="J92" s="8">
        <v>32.989999999999995</v>
      </c>
      <c r="L92" s="8">
        <f t="shared" si="3"/>
        <v>32.989999999999995</v>
      </c>
      <c r="M92" s="13"/>
    </row>
    <row r="93" spans="1:13" x14ac:dyDescent="0.3">
      <c r="A93" s="3">
        <v>13</v>
      </c>
      <c r="B93" t="str">
        <f>_xlfn.XLOOKUP(A93,'Produtos &amp; Marcas'!A:A,'Produtos &amp; Marcas'!B:B)</f>
        <v>Café em pó | Caboclo | 1 | Kg</v>
      </c>
      <c r="C93" t="str">
        <f>_xlfn.XLOOKUP(B93,'Produtos &amp; Marcas'!B:B,'Produtos &amp; Marcas'!C:C)</f>
        <v>Café em pó</v>
      </c>
      <c r="D93" t="str">
        <f>_xlfn.XLOOKUP(B93,'Produtos &amp; Marcas'!B:B,'Produtos &amp; Marcas'!D:D)</f>
        <v>Kg</v>
      </c>
      <c r="E93" s="3">
        <f>_xlfn.XLOOKUP(B93,'Produtos &amp; Marcas'!B:B,'Produtos &amp; Marcas'!E:E)</f>
        <v>1</v>
      </c>
      <c r="F93" s="8">
        <f t="shared" si="2"/>
        <v>29.98</v>
      </c>
      <c r="G93" t="str">
        <f>_xlfn.XLOOKUP(B93,'Produtos &amp; Marcas'!B:B,'Produtos &amp; Marcas'!F:F)</f>
        <v>Caboclo</v>
      </c>
      <c r="H93" t="s">
        <v>25</v>
      </c>
      <c r="I93">
        <f>_xlfn.XLOOKUP(H93,'Base Mercado'!C:C,'Base Mercado'!A:A)</f>
        <v>1</v>
      </c>
      <c r="J93" s="8">
        <v>29.98</v>
      </c>
      <c r="K93" s="8">
        <v>29.82</v>
      </c>
      <c r="L93" s="8">
        <f t="shared" si="3"/>
        <v>29.82</v>
      </c>
      <c r="M93" s="13"/>
    </row>
    <row r="94" spans="1:13" x14ac:dyDescent="0.3">
      <c r="A94" s="3">
        <v>13</v>
      </c>
      <c r="B94" t="str">
        <f>_xlfn.XLOOKUP(A94,'Produtos &amp; Marcas'!A:A,'Produtos &amp; Marcas'!B:B)</f>
        <v>Café em pó | Caboclo | 1 | Kg</v>
      </c>
      <c r="C94" t="str">
        <f>_xlfn.XLOOKUP(B94,'Produtos &amp; Marcas'!B:B,'Produtos &amp; Marcas'!C:C)</f>
        <v>Café em pó</v>
      </c>
      <c r="D94" t="str">
        <f>_xlfn.XLOOKUP(B94,'Produtos &amp; Marcas'!B:B,'Produtos &amp; Marcas'!D:D)</f>
        <v>Kg</v>
      </c>
      <c r="E94" s="3">
        <f>_xlfn.XLOOKUP(B94,'Produtos &amp; Marcas'!B:B,'Produtos &amp; Marcas'!E:E)</f>
        <v>1</v>
      </c>
      <c r="F94" s="8">
        <f t="shared" si="2"/>
        <v>31.98</v>
      </c>
      <c r="G94" t="str">
        <f>_xlfn.XLOOKUP(B94,'Produtos &amp; Marcas'!B:B,'Produtos &amp; Marcas'!F:F)</f>
        <v>Caboclo</v>
      </c>
      <c r="H94" t="s">
        <v>27</v>
      </c>
      <c r="I94">
        <f>_xlfn.XLOOKUP(H94,'Base Mercado'!C:C,'Base Mercado'!A:A)</f>
        <v>2</v>
      </c>
      <c r="J94" s="8">
        <v>31.98</v>
      </c>
      <c r="K94" s="8">
        <v>31.82</v>
      </c>
      <c r="L94" s="8">
        <f t="shared" si="3"/>
        <v>31.82</v>
      </c>
      <c r="M94" s="13"/>
    </row>
    <row r="95" spans="1:13" x14ac:dyDescent="0.3">
      <c r="A95" s="3">
        <v>13</v>
      </c>
      <c r="B95" t="str">
        <f>_xlfn.XLOOKUP(A95,'Produtos &amp; Marcas'!A:A,'Produtos &amp; Marcas'!B:B)</f>
        <v>Café em pó | Caboclo | 1 | Kg</v>
      </c>
      <c r="C95" t="str">
        <f>_xlfn.XLOOKUP(B95,'Produtos &amp; Marcas'!B:B,'Produtos &amp; Marcas'!C:C)</f>
        <v>Café em pó</v>
      </c>
      <c r="D95" t="str">
        <f>_xlfn.XLOOKUP(B95,'Produtos &amp; Marcas'!B:B,'Produtos &amp; Marcas'!D:D)</f>
        <v>Kg</v>
      </c>
      <c r="E95" s="3">
        <f>_xlfn.XLOOKUP(B95,'Produtos &amp; Marcas'!B:B,'Produtos &amp; Marcas'!E:E)</f>
        <v>1</v>
      </c>
      <c r="F95" s="8">
        <f t="shared" si="2"/>
        <v>29.98</v>
      </c>
      <c r="G95" t="str">
        <f>_xlfn.XLOOKUP(B95,'Produtos &amp; Marcas'!B:B,'Produtos &amp; Marcas'!F:F)</f>
        <v>Caboclo</v>
      </c>
      <c r="H95" t="s">
        <v>26</v>
      </c>
      <c r="I95">
        <f>_xlfn.XLOOKUP(H95,'Base Mercado'!C:C,'Base Mercado'!A:A)</f>
        <v>3</v>
      </c>
      <c r="J95" s="8">
        <v>29.98</v>
      </c>
      <c r="K95" s="8">
        <v>29.82</v>
      </c>
      <c r="L95" s="8">
        <f t="shared" si="3"/>
        <v>29.82</v>
      </c>
      <c r="M95" s="13"/>
    </row>
    <row r="96" spans="1:13" x14ac:dyDescent="0.3">
      <c r="A96" s="3">
        <v>13</v>
      </c>
      <c r="B96" t="str">
        <f>_xlfn.XLOOKUP(A96,'Produtos &amp; Marcas'!A:A,'Produtos &amp; Marcas'!B:B)</f>
        <v>Café em pó | Caboclo | 1 | Kg</v>
      </c>
      <c r="C96" t="str">
        <f>_xlfn.XLOOKUP(B96,'Produtos &amp; Marcas'!B:B,'Produtos &amp; Marcas'!C:C)</f>
        <v>Café em pó</v>
      </c>
      <c r="D96" t="str">
        <f>_xlfn.XLOOKUP(B96,'Produtos &amp; Marcas'!B:B,'Produtos &amp; Marcas'!D:D)</f>
        <v>Kg</v>
      </c>
      <c r="E96" s="3">
        <f>_xlfn.XLOOKUP(B96,'Produtos &amp; Marcas'!B:B,'Produtos &amp; Marcas'!E:E)</f>
        <v>1</v>
      </c>
      <c r="F96" s="8">
        <f t="shared" si="2"/>
        <v>31.98</v>
      </c>
      <c r="G96" t="str">
        <f>_xlfn.XLOOKUP(B96,'Produtos &amp; Marcas'!B:B,'Produtos &amp; Marcas'!F:F)</f>
        <v>Caboclo</v>
      </c>
      <c r="H96" t="s">
        <v>28</v>
      </c>
      <c r="I96">
        <f>_xlfn.XLOOKUP(H96,'Base Mercado'!C:C,'Base Mercado'!A:A)</f>
        <v>4</v>
      </c>
      <c r="J96" s="8">
        <v>31.98</v>
      </c>
      <c r="K96" s="8">
        <v>31.88</v>
      </c>
      <c r="L96" s="8">
        <f t="shared" si="3"/>
        <v>31.88</v>
      </c>
      <c r="M96" s="13"/>
    </row>
    <row r="97" spans="1:13" x14ac:dyDescent="0.3">
      <c r="A97" s="3">
        <v>13</v>
      </c>
      <c r="B97" t="str">
        <f>_xlfn.XLOOKUP(A97,'Produtos &amp; Marcas'!A:A,'Produtos &amp; Marcas'!B:B)</f>
        <v>Café em pó | Caboclo | 1 | Kg</v>
      </c>
      <c r="C97" t="str">
        <f>_xlfn.XLOOKUP(B97,'Produtos &amp; Marcas'!B:B,'Produtos &amp; Marcas'!C:C)</f>
        <v>Café em pó</v>
      </c>
      <c r="D97" t="str">
        <f>_xlfn.XLOOKUP(B97,'Produtos &amp; Marcas'!B:B,'Produtos &amp; Marcas'!D:D)</f>
        <v>Kg</v>
      </c>
      <c r="E97" s="3">
        <f>_xlfn.XLOOKUP(B97,'Produtos &amp; Marcas'!B:B,'Produtos &amp; Marcas'!E:E)</f>
        <v>1</v>
      </c>
      <c r="F97" s="8">
        <f t="shared" si="2"/>
        <v>29.98</v>
      </c>
      <c r="G97" t="str">
        <f>_xlfn.XLOOKUP(B97,'Produtos &amp; Marcas'!B:B,'Produtos &amp; Marcas'!F:F)</f>
        <v>Caboclo</v>
      </c>
      <c r="H97" t="s">
        <v>29</v>
      </c>
      <c r="I97">
        <f>_xlfn.XLOOKUP(H97,'Base Mercado'!C:C,'Base Mercado'!A:A)</f>
        <v>5</v>
      </c>
      <c r="J97" s="8">
        <v>29.98</v>
      </c>
      <c r="K97" s="8">
        <v>29.88</v>
      </c>
      <c r="L97" s="8">
        <f t="shared" si="3"/>
        <v>29.88</v>
      </c>
      <c r="M97" s="13"/>
    </row>
    <row r="98" spans="1:13" x14ac:dyDescent="0.3">
      <c r="A98" s="3">
        <v>13</v>
      </c>
      <c r="B98" t="str">
        <f>_xlfn.XLOOKUP(A98,'Produtos &amp; Marcas'!A:A,'Produtos &amp; Marcas'!B:B)</f>
        <v>Café em pó | Caboclo | 1 | Kg</v>
      </c>
      <c r="C98" t="str">
        <f>_xlfn.XLOOKUP(B98,'Produtos &amp; Marcas'!B:B,'Produtos &amp; Marcas'!C:C)</f>
        <v>Café em pó</v>
      </c>
      <c r="D98" t="str">
        <f>_xlfn.XLOOKUP(B98,'Produtos &amp; Marcas'!B:B,'Produtos &amp; Marcas'!D:D)</f>
        <v>Kg</v>
      </c>
      <c r="E98" s="3">
        <f>_xlfn.XLOOKUP(B98,'Produtos &amp; Marcas'!B:B,'Produtos &amp; Marcas'!E:E)</f>
        <v>1</v>
      </c>
      <c r="F98" s="8">
        <f t="shared" si="2"/>
        <v>31.98</v>
      </c>
      <c r="G98" t="str">
        <f>_xlfn.XLOOKUP(B98,'Produtos &amp; Marcas'!B:B,'Produtos &amp; Marcas'!F:F)</f>
        <v>Caboclo</v>
      </c>
      <c r="H98" t="s">
        <v>30</v>
      </c>
      <c r="I98">
        <f>_xlfn.XLOOKUP(H98,'Base Mercado'!C:C,'Base Mercado'!A:A)</f>
        <v>6</v>
      </c>
      <c r="J98" s="8">
        <v>31.98</v>
      </c>
      <c r="K98" s="8">
        <v>31.88</v>
      </c>
      <c r="L98" s="8">
        <f t="shared" si="3"/>
        <v>31.88</v>
      </c>
      <c r="M98" s="13"/>
    </row>
    <row r="99" spans="1:13" x14ac:dyDescent="0.3">
      <c r="A99" s="3">
        <v>13</v>
      </c>
      <c r="B99" t="str">
        <f>_xlfn.XLOOKUP(A99,'Produtos &amp; Marcas'!A:A,'Produtos &amp; Marcas'!B:B)</f>
        <v>Café em pó | Caboclo | 1 | Kg</v>
      </c>
      <c r="C99" t="str">
        <f>_xlfn.XLOOKUP(B99,'Produtos &amp; Marcas'!B:B,'Produtos &amp; Marcas'!C:C)</f>
        <v>Café em pó</v>
      </c>
      <c r="D99" t="str">
        <f>_xlfn.XLOOKUP(B99,'Produtos &amp; Marcas'!B:B,'Produtos &amp; Marcas'!D:D)</f>
        <v>Kg</v>
      </c>
      <c r="E99" s="3">
        <f>_xlfn.XLOOKUP(B99,'Produtos &amp; Marcas'!B:B,'Produtos &amp; Marcas'!E:E)</f>
        <v>1</v>
      </c>
      <c r="F99" s="8">
        <f t="shared" si="2"/>
        <v>31.98</v>
      </c>
      <c r="G99" t="str">
        <f>_xlfn.XLOOKUP(B99,'Produtos &amp; Marcas'!B:B,'Produtos &amp; Marcas'!F:F)</f>
        <v>Caboclo</v>
      </c>
      <c r="H99" t="s">
        <v>31</v>
      </c>
      <c r="I99">
        <f>_xlfn.XLOOKUP(H99,'Base Mercado'!C:C,'Base Mercado'!A:A)</f>
        <v>7</v>
      </c>
      <c r="J99" s="8">
        <v>31.98</v>
      </c>
      <c r="K99" s="8">
        <v>31.88</v>
      </c>
      <c r="L99" s="8">
        <f t="shared" si="3"/>
        <v>31.88</v>
      </c>
      <c r="M99" s="13"/>
    </row>
    <row r="100" spans="1:13" x14ac:dyDescent="0.3">
      <c r="A100" s="3">
        <v>15</v>
      </c>
      <c r="B100" t="str">
        <f>_xlfn.XLOOKUP(A100,'Produtos &amp; Marcas'!A:A,'Produtos &amp; Marcas'!B:B)</f>
        <v>Café em pó | Melitta | 1 | Kg</v>
      </c>
      <c r="C100" t="str">
        <f>_xlfn.XLOOKUP(B100,'Produtos &amp; Marcas'!B:B,'Produtos &amp; Marcas'!C:C)</f>
        <v>Café em pó</v>
      </c>
      <c r="D100" t="str">
        <f>_xlfn.XLOOKUP(B100,'Produtos &amp; Marcas'!B:B,'Produtos &amp; Marcas'!D:D)</f>
        <v>Kg</v>
      </c>
      <c r="E100" s="3">
        <f>_xlfn.XLOOKUP(B100,'Produtos &amp; Marcas'!B:B,'Produtos &amp; Marcas'!E:E)</f>
        <v>1</v>
      </c>
      <c r="F100" s="8">
        <f t="shared" si="2"/>
        <v>34.99</v>
      </c>
      <c r="G100" t="str">
        <f>_xlfn.XLOOKUP(B100,'Produtos &amp; Marcas'!B:B,'Produtos &amp; Marcas'!F:F)</f>
        <v>Melitta</v>
      </c>
      <c r="H100" t="s">
        <v>25</v>
      </c>
      <c r="I100">
        <f>_xlfn.XLOOKUP(H100,'Base Mercado'!C:C,'Base Mercado'!A:A)</f>
        <v>1</v>
      </c>
      <c r="J100" s="8">
        <v>34.99</v>
      </c>
      <c r="K100" s="8">
        <v>34.89</v>
      </c>
      <c r="L100" s="8">
        <f t="shared" si="3"/>
        <v>34.89</v>
      </c>
      <c r="M100" s="13"/>
    </row>
    <row r="101" spans="1:13" x14ac:dyDescent="0.3">
      <c r="A101" s="3">
        <v>15</v>
      </c>
      <c r="B101" t="str">
        <f>_xlfn.XLOOKUP(A101,'Produtos &amp; Marcas'!A:A,'Produtos &amp; Marcas'!B:B)</f>
        <v>Café em pó | Melitta | 1 | Kg</v>
      </c>
      <c r="C101" t="str">
        <f>_xlfn.XLOOKUP(B101,'Produtos &amp; Marcas'!B:B,'Produtos &amp; Marcas'!C:C)</f>
        <v>Café em pó</v>
      </c>
      <c r="D101" t="str">
        <f>_xlfn.XLOOKUP(B101,'Produtos &amp; Marcas'!B:B,'Produtos &amp; Marcas'!D:D)</f>
        <v>Kg</v>
      </c>
      <c r="E101" s="3">
        <f>_xlfn.XLOOKUP(B101,'Produtos &amp; Marcas'!B:B,'Produtos &amp; Marcas'!E:E)</f>
        <v>1</v>
      </c>
      <c r="F101" s="8">
        <f t="shared" si="2"/>
        <v>36.99</v>
      </c>
      <c r="G101" t="str">
        <f>_xlfn.XLOOKUP(B101,'Produtos &amp; Marcas'!B:B,'Produtos &amp; Marcas'!F:F)</f>
        <v>Melitta</v>
      </c>
      <c r="H101" t="s">
        <v>27</v>
      </c>
      <c r="I101">
        <f>_xlfn.XLOOKUP(H101,'Base Mercado'!C:C,'Base Mercado'!A:A)</f>
        <v>2</v>
      </c>
      <c r="J101" s="8">
        <v>36.99</v>
      </c>
      <c r="K101" s="8">
        <v>36.89</v>
      </c>
      <c r="L101" s="8">
        <f t="shared" si="3"/>
        <v>36.89</v>
      </c>
      <c r="M101" s="13"/>
    </row>
    <row r="102" spans="1:13" x14ac:dyDescent="0.3">
      <c r="A102" s="3">
        <v>15</v>
      </c>
      <c r="B102" t="str">
        <f>_xlfn.XLOOKUP(A102,'Produtos &amp; Marcas'!A:A,'Produtos &amp; Marcas'!B:B)</f>
        <v>Café em pó | Melitta | 1 | Kg</v>
      </c>
      <c r="C102" t="str">
        <f>_xlfn.XLOOKUP(B102,'Produtos &amp; Marcas'!B:B,'Produtos &amp; Marcas'!C:C)</f>
        <v>Café em pó</v>
      </c>
      <c r="D102" t="str">
        <f>_xlfn.XLOOKUP(B102,'Produtos &amp; Marcas'!B:B,'Produtos &amp; Marcas'!D:D)</f>
        <v>Kg</v>
      </c>
      <c r="E102" s="3">
        <f>_xlfn.XLOOKUP(B102,'Produtos &amp; Marcas'!B:B,'Produtos &amp; Marcas'!E:E)</f>
        <v>1</v>
      </c>
      <c r="F102" s="8">
        <f t="shared" si="2"/>
        <v>36.99</v>
      </c>
      <c r="G102" t="str">
        <f>_xlfn.XLOOKUP(B102,'Produtos &amp; Marcas'!B:B,'Produtos &amp; Marcas'!F:F)</f>
        <v>Melitta</v>
      </c>
      <c r="H102" t="s">
        <v>26</v>
      </c>
      <c r="I102">
        <f>_xlfn.XLOOKUP(H102,'Base Mercado'!C:C,'Base Mercado'!A:A)</f>
        <v>3</v>
      </c>
      <c r="J102" s="8">
        <v>36.99</v>
      </c>
      <c r="K102" s="8">
        <v>36.89</v>
      </c>
      <c r="L102" s="8">
        <f t="shared" si="3"/>
        <v>36.89</v>
      </c>
      <c r="M102" s="13"/>
    </row>
    <row r="103" spans="1:13" x14ac:dyDescent="0.3">
      <c r="A103" s="3">
        <v>15</v>
      </c>
      <c r="B103" t="str">
        <f>_xlfn.XLOOKUP(A103,'Produtos &amp; Marcas'!A:A,'Produtos &amp; Marcas'!B:B)</f>
        <v>Café em pó | Melitta | 1 | Kg</v>
      </c>
      <c r="C103" t="str">
        <f>_xlfn.XLOOKUP(B103,'Produtos &amp; Marcas'!B:B,'Produtos &amp; Marcas'!C:C)</f>
        <v>Café em pó</v>
      </c>
      <c r="D103" t="str">
        <f>_xlfn.XLOOKUP(B103,'Produtos &amp; Marcas'!B:B,'Produtos &amp; Marcas'!D:D)</f>
        <v>Kg</v>
      </c>
      <c r="E103" s="3">
        <f>_xlfn.XLOOKUP(B103,'Produtos &amp; Marcas'!B:B,'Produtos &amp; Marcas'!E:E)</f>
        <v>1</v>
      </c>
      <c r="F103" s="8">
        <f t="shared" si="2"/>
        <v>35.99</v>
      </c>
      <c r="G103" t="str">
        <f>_xlfn.XLOOKUP(B103,'Produtos &amp; Marcas'!B:B,'Produtos &amp; Marcas'!F:F)</f>
        <v>Melitta</v>
      </c>
      <c r="H103" t="s">
        <v>28</v>
      </c>
      <c r="I103">
        <f>_xlfn.XLOOKUP(H103,'Base Mercado'!C:C,'Base Mercado'!A:A)</f>
        <v>4</v>
      </c>
      <c r="J103" s="8">
        <v>35.99</v>
      </c>
      <c r="K103" s="8">
        <v>35.89</v>
      </c>
      <c r="L103" s="8">
        <f t="shared" si="3"/>
        <v>35.89</v>
      </c>
      <c r="M103" s="13"/>
    </row>
    <row r="104" spans="1:13" x14ac:dyDescent="0.3">
      <c r="A104" s="3">
        <v>15</v>
      </c>
      <c r="B104" t="str">
        <f>_xlfn.XLOOKUP(A104,'Produtos &amp; Marcas'!A:A,'Produtos &amp; Marcas'!B:B)</f>
        <v>Café em pó | Melitta | 1 | Kg</v>
      </c>
      <c r="C104" t="str">
        <f>_xlfn.XLOOKUP(B104,'Produtos &amp; Marcas'!B:B,'Produtos &amp; Marcas'!C:C)</f>
        <v>Café em pó</v>
      </c>
      <c r="D104" t="str">
        <f>_xlfn.XLOOKUP(B104,'Produtos &amp; Marcas'!B:B,'Produtos &amp; Marcas'!D:D)</f>
        <v>Kg</v>
      </c>
      <c r="E104" s="3">
        <f>_xlfn.XLOOKUP(B104,'Produtos &amp; Marcas'!B:B,'Produtos &amp; Marcas'!E:E)</f>
        <v>1</v>
      </c>
      <c r="F104" s="8">
        <f t="shared" si="2"/>
        <v>34.99</v>
      </c>
      <c r="G104" t="str">
        <f>_xlfn.XLOOKUP(B104,'Produtos &amp; Marcas'!B:B,'Produtos &amp; Marcas'!F:F)</f>
        <v>Melitta</v>
      </c>
      <c r="H104" t="s">
        <v>29</v>
      </c>
      <c r="I104">
        <f>_xlfn.XLOOKUP(H104,'Base Mercado'!C:C,'Base Mercado'!A:A)</f>
        <v>5</v>
      </c>
      <c r="J104" s="8">
        <v>34.99</v>
      </c>
      <c r="L104" s="8">
        <f t="shared" si="3"/>
        <v>34.99</v>
      </c>
      <c r="M104" s="13"/>
    </row>
    <row r="105" spans="1:13" x14ac:dyDescent="0.3">
      <c r="A105" s="3">
        <v>15</v>
      </c>
      <c r="B105" t="str">
        <f>_xlfn.XLOOKUP(A105,'Produtos &amp; Marcas'!A:A,'Produtos &amp; Marcas'!B:B)</f>
        <v>Café em pó | Melitta | 1 | Kg</v>
      </c>
      <c r="C105" t="str">
        <f>_xlfn.XLOOKUP(B105,'Produtos &amp; Marcas'!B:B,'Produtos &amp; Marcas'!C:C)</f>
        <v>Café em pó</v>
      </c>
      <c r="D105" t="str">
        <f>_xlfn.XLOOKUP(B105,'Produtos &amp; Marcas'!B:B,'Produtos &amp; Marcas'!D:D)</f>
        <v>Kg</v>
      </c>
      <c r="E105" s="3">
        <f>_xlfn.XLOOKUP(B105,'Produtos &amp; Marcas'!B:B,'Produtos &amp; Marcas'!E:E)</f>
        <v>1</v>
      </c>
      <c r="F105" s="8">
        <f t="shared" si="2"/>
        <v>34.99</v>
      </c>
      <c r="G105" t="str">
        <f>_xlfn.XLOOKUP(B105,'Produtos &amp; Marcas'!B:B,'Produtos &amp; Marcas'!F:F)</f>
        <v>Melitta</v>
      </c>
      <c r="H105" t="s">
        <v>30</v>
      </c>
      <c r="I105">
        <f>_xlfn.XLOOKUP(H105,'Base Mercado'!C:C,'Base Mercado'!A:A)</f>
        <v>6</v>
      </c>
      <c r="J105" s="8">
        <v>34.99</v>
      </c>
      <c r="L105" s="8">
        <f t="shared" si="3"/>
        <v>34.99</v>
      </c>
      <c r="M105" s="13"/>
    </row>
    <row r="106" spans="1:13" x14ac:dyDescent="0.3">
      <c r="A106" s="3">
        <v>15</v>
      </c>
      <c r="B106" t="str">
        <f>_xlfn.XLOOKUP(A106,'Produtos &amp; Marcas'!A:A,'Produtos &amp; Marcas'!B:B)</f>
        <v>Café em pó | Melitta | 1 | Kg</v>
      </c>
      <c r="C106" t="str">
        <f>_xlfn.XLOOKUP(B106,'Produtos &amp; Marcas'!B:B,'Produtos &amp; Marcas'!C:C)</f>
        <v>Café em pó</v>
      </c>
      <c r="D106" t="str">
        <f>_xlfn.XLOOKUP(B106,'Produtos &amp; Marcas'!B:B,'Produtos &amp; Marcas'!D:D)</f>
        <v>Kg</v>
      </c>
      <c r="E106" s="3">
        <f>_xlfn.XLOOKUP(B106,'Produtos &amp; Marcas'!B:B,'Produtos &amp; Marcas'!E:E)</f>
        <v>1</v>
      </c>
      <c r="F106" s="8">
        <f t="shared" si="2"/>
        <v>35.99</v>
      </c>
      <c r="G106" t="str">
        <f>_xlfn.XLOOKUP(B106,'Produtos &amp; Marcas'!B:B,'Produtos &amp; Marcas'!F:F)</f>
        <v>Melitta</v>
      </c>
      <c r="H106" t="s">
        <v>31</v>
      </c>
      <c r="I106">
        <f>_xlfn.XLOOKUP(H106,'Base Mercado'!C:C,'Base Mercado'!A:A)</f>
        <v>7</v>
      </c>
      <c r="J106" s="8">
        <v>35.99</v>
      </c>
      <c r="L106" s="8">
        <f t="shared" si="3"/>
        <v>35.99</v>
      </c>
      <c r="M106" s="13"/>
    </row>
    <row r="107" spans="1:13" x14ac:dyDescent="0.3">
      <c r="A107" s="3">
        <v>16</v>
      </c>
      <c r="B107" t="str">
        <f>_xlfn.XLOOKUP(A107,'Produtos &amp; Marcas'!A:A,'Produtos &amp; Marcas'!B:B)</f>
        <v>Carne | Acém | 1 | Kg</v>
      </c>
      <c r="C107" t="str">
        <f>_xlfn.XLOOKUP(B107,'Produtos &amp; Marcas'!B:B,'Produtos &amp; Marcas'!C:C)</f>
        <v>Carne</v>
      </c>
      <c r="D107" t="str">
        <f>_xlfn.XLOOKUP(B107,'Produtos &amp; Marcas'!B:B,'Produtos &amp; Marcas'!D:D)</f>
        <v>Kg</v>
      </c>
      <c r="E107" s="3">
        <f>_xlfn.XLOOKUP(B107,'Produtos &amp; Marcas'!B:B,'Produtos &amp; Marcas'!E:E)</f>
        <v>1</v>
      </c>
      <c r="F107" s="8">
        <f t="shared" si="2"/>
        <v>42.9</v>
      </c>
      <c r="G107" t="str">
        <f>_xlfn.XLOOKUP(B107,'Produtos &amp; Marcas'!B:B,'Produtos &amp; Marcas'!F:F)</f>
        <v>Acém</v>
      </c>
      <c r="H107" t="s">
        <v>25</v>
      </c>
      <c r="I107">
        <f>_xlfn.XLOOKUP(H107,'Base Mercado'!C:C,'Base Mercado'!A:A)</f>
        <v>1</v>
      </c>
      <c r="J107" s="8">
        <v>42.9</v>
      </c>
      <c r="L107" s="8">
        <f t="shared" si="3"/>
        <v>42.9</v>
      </c>
      <c r="M107" s="13"/>
    </row>
    <row r="108" spans="1:13" x14ac:dyDescent="0.3">
      <c r="A108" s="3">
        <v>16</v>
      </c>
      <c r="B108" t="str">
        <f>_xlfn.XLOOKUP(A108,'Produtos &amp; Marcas'!A:A,'Produtos &amp; Marcas'!B:B)</f>
        <v>Carne | Acém | 1 | Kg</v>
      </c>
      <c r="C108" t="str">
        <f>_xlfn.XLOOKUP(B108,'Produtos &amp; Marcas'!B:B,'Produtos &amp; Marcas'!C:C)</f>
        <v>Carne</v>
      </c>
      <c r="D108" t="str">
        <f>_xlfn.XLOOKUP(B108,'Produtos &amp; Marcas'!B:B,'Produtos &amp; Marcas'!D:D)</f>
        <v>Kg</v>
      </c>
      <c r="E108" s="3">
        <f>_xlfn.XLOOKUP(B108,'Produtos &amp; Marcas'!B:B,'Produtos &amp; Marcas'!E:E)</f>
        <v>1</v>
      </c>
      <c r="F108" s="8">
        <f t="shared" si="2"/>
        <v>44.9</v>
      </c>
      <c r="G108" t="str">
        <f>_xlfn.XLOOKUP(B108,'Produtos &amp; Marcas'!B:B,'Produtos &amp; Marcas'!F:F)</f>
        <v>Acém</v>
      </c>
      <c r="H108" t="s">
        <v>27</v>
      </c>
      <c r="I108">
        <f>_xlfn.XLOOKUP(H108,'Base Mercado'!C:C,'Base Mercado'!A:A)</f>
        <v>2</v>
      </c>
      <c r="J108" s="8">
        <v>44.9</v>
      </c>
      <c r="L108" s="8">
        <f t="shared" si="3"/>
        <v>44.9</v>
      </c>
      <c r="M108" s="13"/>
    </row>
    <row r="109" spans="1:13" x14ac:dyDescent="0.3">
      <c r="A109" s="3">
        <v>16</v>
      </c>
      <c r="B109" t="str">
        <f>_xlfn.XLOOKUP(A109,'Produtos &amp; Marcas'!A:A,'Produtos &amp; Marcas'!B:B)</f>
        <v>Carne | Acém | 1 | Kg</v>
      </c>
      <c r="C109" t="str">
        <f>_xlfn.XLOOKUP(B109,'Produtos &amp; Marcas'!B:B,'Produtos &amp; Marcas'!C:C)</f>
        <v>Carne</v>
      </c>
      <c r="D109" t="str">
        <f>_xlfn.XLOOKUP(B109,'Produtos &amp; Marcas'!B:B,'Produtos &amp; Marcas'!D:D)</f>
        <v>Kg</v>
      </c>
      <c r="E109" s="3">
        <f>_xlfn.XLOOKUP(B109,'Produtos &amp; Marcas'!B:B,'Produtos &amp; Marcas'!E:E)</f>
        <v>1</v>
      </c>
      <c r="F109" s="8">
        <f t="shared" si="2"/>
        <v>44.9</v>
      </c>
      <c r="G109" t="str">
        <f>_xlfn.XLOOKUP(B109,'Produtos &amp; Marcas'!B:B,'Produtos &amp; Marcas'!F:F)</f>
        <v>Acém</v>
      </c>
      <c r="H109" t="s">
        <v>26</v>
      </c>
      <c r="I109">
        <f>_xlfn.XLOOKUP(H109,'Base Mercado'!C:C,'Base Mercado'!A:A)</f>
        <v>3</v>
      </c>
      <c r="J109" s="8">
        <v>44.9</v>
      </c>
      <c r="L109" s="8">
        <f t="shared" si="3"/>
        <v>44.9</v>
      </c>
      <c r="M109" s="13"/>
    </row>
    <row r="110" spans="1:13" x14ac:dyDescent="0.3">
      <c r="A110" s="3">
        <v>16</v>
      </c>
      <c r="B110" t="str">
        <f>_xlfn.XLOOKUP(A110,'Produtos &amp; Marcas'!A:A,'Produtos &amp; Marcas'!B:B)</f>
        <v>Carne | Acém | 1 | Kg</v>
      </c>
      <c r="C110" t="str">
        <f>_xlfn.XLOOKUP(B110,'Produtos &amp; Marcas'!B:B,'Produtos &amp; Marcas'!C:C)</f>
        <v>Carne</v>
      </c>
      <c r="D110" t="str">
        <f>_xlfn.XLOOKUP(B110,'Produtos &amp; Marcas'!B:B,'Produtos &amp; Marcas'!D:D)</f>
        <v>Kg</v>
      </c>
      <c r="E110" s="3">
        <f>_xlfn.XLOOKUP(B110,'Produtos &amp; Marcas'!B:B,'Produtos &amp; Marcas'!E:E)</f>
        <v>1</v>
      </c>
      <c r="F110" s="8">
        <f t="shared" si="2"/>
        <v>44.9</v>
      </c>
      <c r="G110" t="str">
        <f>_xlfn.XLOOKUP(B110,'Produtos &amp; Marcas'!B:B,'Produtos &amp; Marcas'!F:F)</f>
        <v>Acém</v>
      </c>
      <c r="H110" t="s">
        <v>28</v>
      </c>
      <c r="I110">
        <f>_xlfn.XLOOKUP(H110,'Base Mercado'!C:C,'Base Mercado'!A:A)</f>
        <v>4</v>
      </c>
      <c r="J110" s="8">
        <v>44.9</v>
      </c>
      <c r="L110" s="8">
        <f t="shared" si="3"/>
        <v>44.9</v>
      </c>
      <c r="M110" s="13"/>
    </row>
    <row r="111" spans="1:13" x14ac:dyDescent="0.3">
      <c r="A111" s="3">
        <v>16</v>
      </c>
      <c r="B111" t="str">
        <f>_xlfn.XLOOKUP(A111,'Produtos &amp; Marcas'!A:A,'Produtos &amp; Marcas'!B:B)</f>
        <v>Carne | Acém | 1 | Kg</v>
      </c>
      <c r="C111" t="str">
        <f>_xlfn.XLOOKUP(B111,'Produtos &amp; Marcas'!B:B,'Produtos &amp; Marcas'!C:C)</f>
        <v>Carne</v>
      </c>
      <c r="D111" t="str">
        <f>_xlfn.XLOOKUP(B111,'Produtos &amp; Marcas'!B:B,'Produtos &amp; Marcas'!D:D)</f>
        <v>Kg</v>
      </c>
      <c r="E111" s="3">
        <f>_xlfn.XLOOKUP(B111,'Produtos &amp; Marcas'!B:B,'Produtos &amp; Marcas'!E:E)</f>
        <v>1</v>
      </c>
      <c r="F111" s="8">
        <f t="shared" si="2"/>
        <v>42.9</v>
      </c>
      <c r="G111" t="str">
        <f>_xlfn.XLOOKUP(B111,'Produtos &amp; Marcas'!B:B,'Produtos &amp; Marcas'!F:F)</f>
        <v>Acém</v>
      </c>
      <c r="H111" t="s">
        <v>29</v>
      </c>
      <c r="I111">
        <f>_xlfn.XLOOKUP(H111,'Base Mercado'!C:C,'Base Mercado'!A:A)</f>
        <v>5</v>
      </c>
      <c r="J111" s="8">
        <v>42.9</v>
      </c>
      <c r="L111" s="8">
        <f t="shared" si="3"/>
        <v>42.9</v>
      </c>
      <c r="M111" s="13"/>
    </row>
    <row r="112" spans="1:13" x14ac:dyDescent="0.3">
      <c r="A112" s="3">
        <v>16</v>
      </c>
      <c r="B112" t="str">
        <f>_xlfn.XLOOKUP(A112,'Produtos &amp; Marcas'!A:A,'Produtos &amp; Marcas'!B:B)</f>
        <v>Carne | Acém | 1 | Kg</v>
      </c>
      <c r="C112" t="str">
        <f>_xlfn.XLOOKUP(B112,'Produtos &amp; Marcas'!B:B,'Produtos &amp; Marcas'!C:C)</f>
        <v>Carne</v>
      </c>
      <c r="D112" t="str">
        <f>_xlfn.XLOOKUP(B112,'Produtos &amp; Marcas'!B:B,'Produtos &amp; Marcas'!D:D)</f>
        <v>Kg</v>
      </c>
      <c r="E112" s="3">
        <f>_xlfn.XLOOKUP(B112,'Produtos &amp; Marcas'!B:B,'Produtos &amp; Marcas'!E:E)</f>
        <v>1</v>
      </c>
      <c r="F112" s="8">
        <f t="shared" si="2"/>
        <v>43.9</v>
      </c>
      <c r="G112" t="str">
        <f>_xlfn.XLOOKUP(B112,'Produtos &amp; Marcas'!B:B,'Produtos &amp; Marcas'!F:F)</f>
        <v>Acém</v>
      </c>
      <c r="H112" t="s">
        <v>30</v>
      </c>
      <c r="I112">
        <f>_xlfn.XLOOKUP(H112,'Base Mercado'!C:C,'Base Mercado'!A:A)</f>
        <v>6</v>
      </c>
      <c r="J112" s="8">
        <v>43.9</v>
      </c>
      <c r="K112" s="8">
        <v>43.8</v>
      </c>
      <c r="L112" s="8">
        <f t="shared" si="3"/>
        <v>43.8</v>
      </c>
      <c r="M112" s="13"/>
    </row>
    <row r="113" spans="1:13" x14ac:dyDescent="0.3">
      <c r="A113" s="3">
        <v>16</v>
      </c>
      <c r="B113" t="str">
        <f>_xlfn.XLOOKUP(A113,'Produtos &amp; Marcas'!A:A,'Produtos &amp; Marcas'!B:B)</f>
        <v>Carne | Acém | 1 | Kg</v>
      </c>
      <c r="C113" t="str">
        <f>_xlfn.XLOOKUP(B113,'Produtos &amp; Marcas'!B:B,'Produtos &amp; Marcas'!C:C)</f>
        <v>Carne</v>
      </c>
      <c r="D113" t="str">
        <f>_xlfn.XLOOKUP(B113,'Produtos &amp; Marcas'!B:B,'Produtos &amp; Marcas'!D:D)</f>
        <v>Kg</v>
      </c>
      <c r="E113" s="3">
        <f>_xlfn.XLOOKUP(B113,'Produtos &amp; Marcas'!B:B,'Produtos &amp; Marcas'!E:E)</f>
        <v>1</v>
      </c>
      <c r="F113" s="8">
        <f t="shared" si="2"/>
        <v>44.9</v>
      </c>
      <c r="G113" t="str">
        <f>_xlfn.XLOOKUP(B113,'Produtos &amp; Marcas'!B:B,'Produtos &amp; Marcas'!F:F)</f>
        <v>Acém</v>
      </c>
      <c r="H113" t="s">
        <v>31</v>
      </c>
      <c r="I113">
        <f>_xlfn.XLOOKUP(H113,'Base Mercado'!C:C,'Base Mercado'!A:A)</f>
        <v>7</v>
      </c>
      <c r="J113" s="8">
        <v>44.9</v>
      </c>
      <c r="K113" s="8">
        <v>44.8</v>
      </c>
      <c r="L113" s="8">
        <f t="shared" si="3"/>
        <v>44.8</v>
      </c>
      <c r="M113" s="13"/>
    </row>
    <row r="114" spans="1:13" x14ac:dyDescent="0.3">
      <c r="A114" s="3">
        <v>18</v>
      </c>
      <c r="B114" t="str">
        <f>_xlfn.XLOOKUP(A114,'Produtos &amp; Marcas'!A:A,'Produtos &amp; Marcas'!B:B)</f>
        <v>Carne | Contra-filé | 1 | Kg</v>
      </c>
      <c r="C114" t="str">
        <f>_xlfn.XLOOKUP(B114,'Produtos &amp; Marcas'!B:B,'Produtos &amp; Marcas'!C:C)</f>
        <v>Carne</v>
      </c>
      <c r="D114" t="str">
        <f>_xlfn.XLOOKUP(B114,'Produtos &amp; Marcas'!B:B,'Produtos &amp; Marcas'!D:D)</f>
        <v>Kg</v>
      </c>
      <c r="E114" s="3">
        <f>_xlfn.XLOOKUP(B114,'Produtos &amp; Marcas'!B:B,'Produtos &amp; Marcas'!E:E)</f>
        <v>1</v>
      </c>
      <c r="F114" s="8">
        <f t="shared" si="2"/>
        <v>48.9</v>
      </c>
      <c r="G114" t="str">
        <f>_xlfn.XLOOKUP(B114,'Produtos &amp; Marcas'!B:B,'Produtos &amp; Marcas'!F:F)</f>
        <v>Contra-filé</v>
      </c>
      <c r="H114" t="s">
        <v>25</v>
      </c>
      <c r="I114">
        <f>_xlfn.XLOOKUP(H114,'Base Mercado'!C:C,'Base Mercado'!A:A)</f>
        <v>1</v>
      </c>
      <c r="J114" s="8">
        <v>48.9</v>
      </c>
      <c r="K114" s="8">
        <v>48.8</v>
      </c>
      <c r="L114" s="8">
        <f t="shared" si="3"/>
        <v>48.8</v>
      </c>
      <c r="M114" s="13"/>
    </row>
    <row r="115" spans="1:13" x14ac:dyDescent="0.3">
      <c r="A115" s="3">
        <v>18</v>
      </c>
      <c r="B115" t="str">
        <f>_xlfn.XLOOKUP(A115,'Produtos &amp; Marcas'!A:A,'Produtos &amp; Marcas'!B:B)</f>
        <v>Carne | Contra-filé | 1 | Kg</v>
      </c>
      <c r="C115" t="str">
        <f>_xlfn.XLOOKUP(B115,'Produtos &amp; Marcas'!B:B,'Produtos &amp; Marcas'!C:C)</f>
        <v>Carne</v>
      </c>
      <c r="D115" t="str">
        <f>_xlfn.XLOOKUP(B115,'Produtos &amp; Marcas'!B:B,'Produtos &amp; Marcas'!D:D)</f>
        <v>Kg</v>
      </c>
      <c r="E115" s="3">
        <f>_xlfn.XLOOKUP(B115,'Produtos &amp; Marcas'!B:B,'Produtos &amp; Marcas'!E:E)</f>
        <v>1</v>
      </c>
      <c r="F115" s="8">
        <f t="shared" si="2"/>
        <v>47.9</v>
      </c>
      <c r="G115" t="str">
        <f>_xlfn.XLOOKUP(B115,'Produtos &amp; Marcas'!B:B,'Produtos &amp; Marcas'!F:F)</f>
        <v>Contra-filé</v>
      </c>
      <c r="H115" t="s">
        <v>27</v>
      </c>
      <c r="I115">
        <f>_xlfn.XLOOKUP(H115,'Base Mercado'!C:C,'Base Mercado'!A:A)</f>
        <v>2</v>
      </c>
      <c r="J115" s="8">
        <v>47.9</v>
      </c>
      <c r="K115" s="8">
        <v>47.8</v>
      </c>
      <c r="L115" s="8">
        <f t="shared" si="3"/>
        <v>47.8</v>
      </c>
      <c r="M115" s="13"/>
    </row>
    <row r="116" spans="1:13" x14ac:dyDescent="0.3">
      <c r="A116" s="3">
        <v>18</v>
      </c>
      <c r="B116" t="str">
        <f>_xlfn.XLOOKUP(A116,'Produtos &amp; Marcas'!A:A,'Produtos &amp; Marcas'!B:B)</f>
        <v>Carne | Contra-filé | 1 | Kg</v>
      </c>
      <c r="C116" t="str">
        <f>_xlfn.XLOOKUP(B116,'Produtos &amp; Marcas'!B:B,'Produtos &amp; Marcas'!C:C)</f>
        <v>Carne</v>
      </c>
      <c r="D116" t="str">
        <f>_xlfn.XLOOKUP(B116,'Produtos &amp; Marcas'!B:B,'Produtos &amp; Marcas'!D:D)</f>
        <v>Kg</v>
      </c>
      <c r="E116" s="3">
        <f>_xlfn.XLOOKUP(B116,'Produtos &amp; Marcas'!B:B,'Produtos &amp; Marcas'!E:E)</f>
        <v>1</v>
      </c>
      <c r="F116" s="8">
        <f t="shared" si="2"/>
        <v>48.9</v>
      </c>
      <c r="G116" t="str">
        <f>_xlfn.XLOOKUP(B116,'Produtos &amp; Marcas'!B:B,'Produtos &amp; Marcas'!F:F)</f>
        <v>Contra-filé</v>
      </c>
      <c r="H116" t="s">
        <v>26</v>
      </c>
      <c r="I116">
        <f>_xlfn.XLOOKUP(H116,'Base Mercado'!C:C,'Base Mercado'!A:A)</f>
        <v>3</v>
      </c>
      <c r="J116" s="8">
        <v>48.9</v>
      </c>
      <c r="K116" s="8">
        <v>48.8</v>
      </c>
      <c r="L116" s="8">
        <f t="shared" si="3"/>
        <v>48.8</v>
      </c>
      <c r="M116" s="13"/>
    </row>
    <row r="117" spans="1:13" x14ac:dyDescent="0.3">
      <c r="A117" s="3">
        <v>18</v>
      </c>
      <c r="B117" t="str">
        <f>_xlfn.XLOOKUP(A117,'Produtos &amp; Marcas'!A:A,'Produtos &amp; Marcas'!B:B)</f>
        <v>Carne | Contra-filé | 1 | Kg</v>
      </c>
      <c r="C117" t="str">
        <f>_xlfn.XLOOKUP(B117,'Produtos &amp; Marcas'!B:B,'Produtos &amp; Marcas'!C:C)</f>
        <v>Carne</v>
      </c>
      <c r="D117" t="str">
        <f>_xlfn.XLOOKUP(B117,'Produtos &amp; Marcas'!B:B,'Produtos &amp; Marcas'!D:D)</f>
        <v>Kg</v>
      </c>
      <c r="E117" s="3">
        <f>_xlfn.XLOOKUP(B117,'Produtos &amp; Marcas'!B:B,'Produtos &amp; Marcas'!E:E)</f>
        <v>1</v>
      </c>
      <c r="F117" s="8">
        <f t="shared" si="2"/>
        <v>48.9</v>
      </c>
      <c r="G117" t="str">
        <f>_xlfn.XLOOKUP(B117,'Produtos &amp; Marcas'!B:B,'Produtos &amp; Marcas'!F:F)</f>
        <v>Contra-filé</v>
      </c>
      <c r="H117" t="s">
        <v>28</v>
      </c>
      <c r="I117">
        <f>_xlfn.XLOOKUP(H117,'Base Mercado'!C:C,'Base Mercado'!A:A)</f>
        <v>4</v>
      </c>
      <c r="J117" s="8">
        <v>48.9</v>
      </c>
      <c r="K117" s="8">
        <v>48.769999999999996</v>
      </c>
      <c r="L117" s="8">
        <f t="shared" si="3"/>
        <v>48.769999999999996</v>
      </c>
      <c r="M117" s="13"/>
    </row>
    <row r="118" spans="1:13" x14ac:dyDescent="0.3">
      <c r="A118" s="3">
        <v>18</v>
      </c>
      <c r="B118" t="str">
        <f>_xlfn.XLOOKUP(A118,'Produtos &amp; Marcas'!A:A,'Produtos &amp; Marcas'!B:B)</f>
        <v>Carne | Contra-filé | 1 | Kg</v>
      </c>
      <c r="C118" t="str">
        <f>_xlfn.XLOOKUP(B118,'Produtos &amp; Marcas'!B:B,'Produtos &amp; Marcas'!C:C)</f>
        <v>Carne</v>
      </c>
      <c r="D118" t="str">
        <f>_xlfn.XLOOKUP(B118,'Produtos &amp; Marcas'!B:B,'Produtos &amp; Marcas'!D:D)</f>
        <v>Kg</v>
      </c>
      <c r="E118" s="3">
        <f>_xlfn.XLOOKUP(B118,'Produtos &amp; Marcas'!B:B,'Produtos &amp; Marcas'!E:E)</f>
        <v>1</v>
      </c>
      <c r="F118" s="8">
        <f t="shared" si="2"/>
        <v>48.9</v>
      </c>
      <c r="G118" t="str">
        <f>_xlfn.XLOOKUP(B118,'Produtos &amp; Marcas'!B:B,'Produtos &amp; Marcas'!F:F)</f>
        <v>Contra-filé</v>
      </c>
      <c r="H118" t="s">
        <v>29</v>
      </c>
      <c r="I118">
        <f>_xlfn.XLOOKUP(H118,'Base Mercado'!C:C,'Base Mercado'!A:A)</f>
        <v>5</v>
      </c>
      <c r="J118" s="8">
        <v>48.9</v>
      </c>
      <c r="K118" s="8">
        <v>48.769999999999996</v>
      </c>
      <c r="L118" s="8">
        <f t="shared" si="3"/>
        <v>48.769999999999996</v>
      </c>
      <c r="M118" s="13"/>
    </row>
    <row r="119" spans="1:13" x14ac:dyDescent="0.3">
      <c r="A119" s="3">
        <v>18</v>
      </c>
      <c r="B119" t="str">
        <f>_xlfn.XLOOKUP(A119,'Produtos &amp; Marcas'!A:A,'Produtos &amp; Marcas'!B:B)</f>
        <v>Carne | Contra-filé | 1 | Kg</v>
      </c>
      <c r="C119" t="str">
        <f>_xlfn.XLOOKUP(B119,'Produtos &amp; Marcas'!B:B,'Produtos &amp; Marcas'!C:C)</f>
        <v>Carne</v>
      </c>
      <c r="D119" t="str">
        <f>_xlfn.XLOOKUP(B119,'Produtos &amp; Marcas'!B:B,'Produtos &amp; Marcas'!D:D)</f>
        <v>Kg</v>
      </c>
      <c r="E119" s="3">
        <f>_xlfn.XLOOKUP(B119,'Produtos &amp; Marcas'!B:B,'Produtos &amp; Marcas'!E:E)</f>
        <v>1</v>
      </c>
      <c r="F119" s="8">
        <f t="shared" si="2"/>
        <v>48.9</v>
      </c>
      <c r="G119" t="str">
        <f>_xlfn.XLOOKUP(B119,'Produtos &amp; Marcas'!B:B,'Produtos &amp; Marcas'!F:F)</f>
        <v>Contra-filé</v>
      </c>
      <c r="H119" t="s">
        <v>30</v>
      </c>
      <c r="I119">
        <f>_xlfn.XLOOKUP(H119,'Base Mercado'!C:C,'Base Mercado'!A:A)</f>
        <v>6</v>
      </c>
      <c r="J119" s="8">
        <v>48.9</v>
      </c>
      <c r="L119" s="8">
        <f t="shared" si="3"/>
        <v>48.9</v>
      </c>
      <c r="M119" s="13"/>
    </row>
    <row r="120" spans="1:13" x14ac:dyDescent="0.3">
      <c r="A120" s="3">
        <v>18</v>
      </c>
      <c r="B120" t="str">
        <f>_xlfn.XLOOKUP(A120,'Produtos &amp; Marcas'!A:A,'Produtos &amp; Marcas'!B:B)</f>
        <v>Carne | Contra-filé | 1 | Kg</v>
      </c>
      <c r="C120" t="str">
        <f>_xlfn.XLOOKUP(B120,'Produtos &amp; Marcas'!B:B,'Produtos &amp; Marcas'!C:C)</f>
        <v>Carne</v>
      </c>
      <c r="D120" t="str">
        <f>_xlfn.XLOOKUP(B120,'Produtos &amp; Marcas'!B:B,'Produtos &amp; Marcas'!D:D)</f>
        <v>Kg</v>
      </c>
      <c r="E120" s="3">
        <f>_xlfn.XLOOKUP(B120,'Produtos &amp; Marcas'!B:B,'Produtos &amp; Marcas'!E:E)</f>
        <v>1</v>
      </c>
      <c r="F120" s="8">
        <f t="shared" si="2"/>
        <v>49.9</v>
      </c>
      <c r="G120" t="str">
        <f>_xlfn.XLOOKUP(B120,'Produtos &amp; Marcas'!B:B,'Produtos &amp; Marcas'!F:F)</f>
        <v>Contra-filé</v>
      </c>
      <c r="H120" t="s">
        <v>31</v>
      </c>
      <c r="I120">
        <f>_xlfn.XLOOKUP(H120,'Base Mercado'!C:C,'Base Mercado'!A:A)</f>
        <v>7</v>
      </c>
      <c r="J120" s="8">
        <v>49.9</v>
      </c>
      <c r="L120" s="8">
        <f t="shared" si="3"/>
        <v>49.9</v>
      </c>
      <c r="M120" s="13"/>
    </row>
    <row r="121" spans="1:13" x14ac:dyDescent="0.3">
      <c r="A121" s="3">
        <v>17</v>
      </c>
      <c r="B121" t="str">
        <f>_xlfn.XLOOKUP(A121,'Produtos &amp; Marcas'!A:A,'Produtos &amp; Marcas'!B:B)</f>
        <v>Carne | Filé Mignon | 1 | Kg</v>
      </c>
      <c r="C121" t="str">
        <f>_xlfn.XLOOKUP(B121,'Produtos &amp; Marcas'!B:B,'Produtos &amp; Marcas'!C:C)</f>
        <v>Carne</v>
      </c>
      <c r="D121" t="str">
        <f>_xlfn.XLOOKUP(B121,'Produtos &amp; Marcas'!B:B,'Produtos &amp; Marcas'!D:D)</f>
        <v>Kg</v>
      </c>
      <c r="E121" s="3">
        <f>_xlfn.XLOOKUP(B121,'Produtos &amp; Marcas'!B:B,'Produtos &amp; Marcas'!E:E)</f>
        <v>1</v>
      </c>
      <c r="F121" s="8">
        <f t="shared" si="2"/>
        <v>61.6</v>
      </c>
      <c r="G121" t="str">
        <f>_xlfn.XLOOKUP(B121,'Produtos &amp; Marcas'!B:B,'Produtos &amp; Marcas'!F:F)</f>
        <v>Filé Mignon</v>
      </c>
      <c r="H121" t="s">
        <v>25</v>
      </c>
      <c r="I121">
        <f>_xlfn.XLOOKUP(H121,'Base Mercado'!C:C,'Base Mercado'!A:A)</f>
        <v>1</v>
      </c>
      <c r="J121" s="8">
        <v>61.6</v>
      </c>
      <c r="L121" s="8">
        <f t="shared" si="3"/>
        <v>61.6</v>
      </c>
      <c r="M121" s="13"/>
    </row>
    <row r="122" spans="1:13" x14ac:dyDescent="0.3">
      <c r="A122" s="3">
        <v>17</v>
      </c>
      <c r="B122" t="str">
        <f>_xlfn.XLOOKUP(A122,'Produtos &amp; Marcas'!A:A,'Produtos &amp; Marcas'!B:B)</f>
        <v>Carne | Filé Mignon | 1 | Kg</v>
      </c>
      <c r="C122" t="str">
        <f>_xlfn.XLOOKUP(B122,'Produtos &amp; Marcas'!B:B,'Produtos &amp; Marcas'!C:C)</f>
        <v>Carne</v>
      </c>
      <c r="D122" t="str">
        <f>_xlfn.XLOOKUP(B122,'Produtos &amp; Marcas'!B:B,'Produtos &amp; Marcas'!D:D)</f>
        <v>Kg</v>
      </c>
      <c r="E122" s="3">
        <f>_xlfn.XLOOKUP(B122,'Produtos &amp; Marcas'!B:B,'Produtos &amp; Marcas'!E:E)</f>
        <v>1</v>
      </c>
      <c r="F122" s="8">
        <f t="shared" si="2"/>
        <v>61.6</v>
      </c>
      <c r="G122" t="str">
        <f>_xlfn.XLOOKUP(B122,'Produtos &amp; Marcas'!B:B,'Produtos &amp; Marcas'!F:F)</f>
        <v>Filé Mignon</v>
      </c>
      <c r="H122" t="s">
        <v>27</v>
      </c>
      <c r="I122">
        <f>_xlfn.XLOOKUP(H122,'Base Mercado'!C:C,'Base Mercado'!A:A)</f>
        <v>2</v>
      </c>
      <c r="J122" s="8">
        <v>61.6</v>
      </c>
      <c r="L122" s="8">
        <f t="shared" si="3"/>
        <v>61.6</v>
      </c>
      <c r="M122" s="13"/>
    </row>
    <row r="123" spans="1:13" x14ac:dyDescent="0.3">
      <c r="A123" s="3">
        <v>17</v>
      </c>
      <c r="B123" t="str">
        <f>_xlfn.XLOOKUP(A123,'Produtos &amp; Marcas'!A:A,'Produtos &amp; Marcas'!B:B)</f>
        <v>Carne | Filé Mignon | 1 | Kg</v>
      </c>
      <c r="C123" t="str">
        <f>_xlfn.XLOOKUP(B123,'Produtos &amp; Marcas'!B:B,'Produtos &amp; Marcas'!C:C)</f>
        <v>Carne</v>
      </c>
      <c r="D123" t="str">
        <f>_xlfn.XLOOKUP(B123,'Produtos &amp; Marcas'!B:B,'Produtos &amp; Marcas'!D:D)</f>
        <v>Kg</v>
      </c>
      <c r="E123" s="3">
        <f>_xlfn.XLOOKUP(B123,'Produtos &amp; Marcas'!B:B,'Produtos &amp; Marcas'!E:E)</f>
        <v>1</v>
      </c>
      <c r="F123" s="8">
        <f t="shared" si="2"/>
        <v>60.6</v>
      </c>
      <c r="G123" t="str">
        <f>_xlfn.XLOOKUP(B123,'Produtos &amp; Marcas'!B:B,'Produtos &amp; Marcas'!F:F)</f>
        <v>Filé Mignon</v>
      </c>
      <c r="H123" t="s">
        <v>26</v>
      </c>
      <c r="I123">
        <f>_xlfn.XLOOKUP(H123,'Base Mercado'!C:C,'Base Mercado'!A:A)</f>
        <v>3</v>
      </c>
      <c r="J123" s="8">
        <v>60.6</v>
      </c>
      <c r="L123" s="8">
        <f t="shared" si="3"/>
        <v>60.6</v>
      </c>
      <c r="M123" s="13"/>
    </row>
    <row r="124" spans="1:13" x14ac:dyDescent="0.3">
      <c r="A124" s="3">
        <v>17</v>
      </c>
      <c r="B124" t="str">
        <f>_xlfn.XLOOKUP(A124,'Produtos &amp; Marcas'!A:A,'Produtos &amp; Marcas'!B:B)</f>
        <v>Carne | Filé Mignon | 1 | Kg</v>
      </c>
      <c r="C124" t="str">
        <f>_xlfn.XLOOKUP(B124,'Produtos &amp; Marcas'!B:B,'Produtos &amp; Marcas'!C:C)</f>
        <v>Carne</v>
      </c>
      <c r="D124" t="str">
        <f>_xlfn.XLOOKUP(B124,'Produtos &amp; Marcas'!B:B,'Produtos &amp; Marcas'!D:D)</f>
        <v>Kg</v>
      </c>
      <c r="E124" s="3">
        <f>_xlfn.XLOOKUP(B124,'Produtos &amp; Marcas'!B:B,'Produtos &amp; Marcas'!E:E)</f>
        <v>1</v>
      </c>
      <c r="F124" s="8">
        <f t="shared" si="2"/>
        <v>61.6</v>
      </c>
      <c r="G124" t="str">
        <f>_xlfn.XLOOKUP(B124,'Produtos &amp; Marcas'!B:B,'Produtos &amp; Marcas'!F:F)</f>
        <v>Filé Mignon</v>
      </c>
      <c r="H124" t="s">
        <v>28</v>
      </c>
      <c r="I124">
        <f>_xlfn.XLOOKUP(H124,'Base Mercado'!C:C,'Base Mercado'!A:A)</f>
        <v>4</v>
      </c>
      <c r="J124" s="8">
        <v>61.6</v>
      </c>
      <c r="L124" s="8">
        <f t="shared" si="3"/>
        <v>61.6</v>
      </c>
      <c r="M124" s="13"/>
    </row>
    <row r="125" spans="1:13" x14ac:dyDescent="0.3">
      <c r="A125" s="3">
        <v>17</v>
      </c>
      <c r="B125" t="str">
        <f>_xlfn.XLOOKUP(A125,'Produtos &amp; Marcas'!A:A,'Produtos &amp; Marcas'!B:B)</f>
        <v>Carne | Filé Mignon | 1 | Kg</v>
      </c>
      <c r="C125" t="str">
        <f>_xlfn.XLOOKUP(B125,'Produtos &amp; Marcas'!B:B,'Produtos &amp; Marcas'!C:C)</f>
        <v>Carne</v>
      </c>
      <c r="D125" t="str">
        <f>_xlfn.XLOOKUP(B125,'Produtos &amp; Marcas'!B:B,'Produtos &amp; Marcas'!D:D)</f>
        <v>Kg</v>
      </c>
      <c r="E125" s="3">
        <f>_xlfn.XLOOKUP(B125,'Produtos &amp; Marcas'!B:B,'Produtos &amp; Marcas'!E:E)</f>
        <v>1</v>
      </c>
      <c r="F125" s="8">
        <f t="shared" si="2"/>
        <v>60.6</v>
      </c>
      <c r="G125" t="str">
        <f>_xlfn.XLOOKUP(B125,'Produtos &amp; Marcas'!B:B,'Produtos &amp; Marcas'!F:F)</f>
        <v>Filé Mignon</v>
      </c>
      <c r="H125" t="s">
        <v>29</v>
      </c>
      <c r="I125">
        <f>_xlfn.XLOOKUP(H125,'Base Mercado'!C:C,'Base Mercado'!A:A)</f>
        <v>5</v>
      </c>
      <c r="J125" s="8">
        <v>60.6</v>
      </c>
      <c r="L125" s="8">
        <f t="shared" si="3"/>
        <v>60.6</v>
      </c>
      <c r="M125" s="13"/>
    </row>
    <row r="126" spans="1:13" x14ac:dyDescent="0.3">
      <c r="A126" s="3">
        <v>17</v>
      </c>
      <c r="B126" t="str">
        <f>_xlfn.XLOOKUP(A126,'Produtos &amp; Marcas'!A:A,'Produtos &amp; Marcas'!B:B)</f>
        <v>Carne | Filé Mignon | 1 | Kg</v>
      </c>
      <c r="C126" t="str">
        <f>_xlfn.XLOOKUP(B126,'Produtos &amp; Marcas'!B:B,'Produtos &amp; Marcas'!C:C)</f>
        <v>Carne</v>
      </c>
      <c r="D126" t="str">
        <f>_xlfn.XLOOKUP(B126,'Produtos &amp; Marcas'!B:B,'Produtos &amp; Marcas'!D:D)</f>
        <v>Kg</v>
      </c>
      <c r="E126" s="3">
        <f>_xlfn.XLOOKUP(B126,'Produtos &amp; Marcas'!B:B,'Produtos &amp; Marcas'!E:E)</f>
        <v>1</v>
      </c>
      <c r="F126" s="8">
        <f t="shared" si="2"/>
        <v>63.6</v>
      </c>
      <c r="G126" t="str">
        <f>_xlfn.XLOOKUP(B126,'Produtos &amp; Marcas'!B:B,'Produtos &amp; Marcas'!F:F)</f>
        <v>Filé Mignon</v>
      </c>
      <c r="H126" t="s">
        <v>30</v>
      </c>
      <c r="I126">
        <f>_xlfn.XLOOKUP(H126,'Base Mercado'!C:C,'Base Mercado'!A:A)</f>
        <v>6</v>
      </c>
      <c r="J126" s="8">
        <v>63.6</v>
      </c>
      <c r="L126" s="8">
        <f t="shared" si="3"/>
        <v>63.6</v>
      </c>
      <c r="M126" s="13"/>
    </row>
    <row r="127" spans="1:13" x14ac:dyDescent="0.3">
      <c r="A127" s="3">
        <v>17</v>
      </c>
      <c r="B127" t="str">
        <f>_xlfn.XLOOKUP(A127,'Produtos &amp; Marcas'!A:A,'Produtos &amp; Marcas'!B:B)</f>
        <v>Carne | Filé Mignon | 1 | Kg</v>
      </c>
      <c r="C127" t="str">
        <f>_xlfn.XLOOKUP(B127,'Produtos &amp; Marcas'!B:B,'Produtos &amp; Marcas'!C:C)</f>
        <v>Carne</v>
      </c>
      <c r="D127" t="str">
        <f>_xlfn.XLOOKUP(B127,'Produtos &amp; Marcas'!B:B,'Produtos &amp; Marcas'!D:D)</f>
        <v>Kg</v>
      </c>
      <c r="E127" s="3">
        <f>_xlfn.XLOOKUP(B127,'Produtos &amp; Marcas'!B:B,'Produtos &amp; Marcas'!E:E)</f>
        <v>1</v>
      </c>
      <c r="F127" s="8">
        <f t="shared" si="2"/>
        <v>63.6</v>
      </c>
      <c r="G127" t="str">
        <f>_xlfn.XLOOKUP(B127,'Produtos &amp; Marcas'!B:B,'Produtos &amp; Marcas'!F:F)</f>
        <v>Filé Mignon</v>
      </c>
      <c r="H127" t="s">
        <v>31</v>
      </c>
      <c r="I127">
        <f>_xlfn.XLOOKUP(H127,'Base Mercado'!C:C,'Base Mercado'!A:A)</f>
        <v>7</v>
      </c>
      <c r="J127" s="8">
        <v>63.6</v>
      </c>
      <c r="L127" s="8">
        <f t="shared" si="3"/>
        <v>63.6</v>
      </c>
      <c r="M127" s="13"/>
    </row>
    <row r="128" spans="1:13" x14ac:dyDescent="0.3">
      <c r="A128" s="3">
        <v>19</v>
      </c>
      <c r="B128" t="str">
        <f>_xlfn.XLOOKUP(A128,'Produtos &amp; Marcas'!A:A,'Produtos &amp; Marcas'!B:B)</f>
        <v>Farinha de Trigo | Dona Benta | 1 | Kg</v>
      </c>
      <c r="C128" t="str">
        <f>_xlfn.XLOOKUP(B128,'Produtos &amp; Marcas'!B:B,'Produtos &amp; Marcas'!C:C)</f>
        <v>Farinha de Trigo</v>
      </c>
      <c r="D128" t="str">
        <f>_xlfn.XLOOKUP(B128,'Produtos &amp; Marcas'!B:B,'Produtos &amp; Marcas'!D:D)</f>
        <v>Kg</v>
      </c>
      <c r="E128" s="3">
        <f>_xlfn.XLOOKUP(B128,'Produtos &amp; Marcas'!B:B,'Produtos &amp; Marcas'!E:E)</f>
        <v>1</v>
      </c>
      <c r="F128" s="8">
        <f t="shared" si="2"/>
        <v>5.49</v>
      </c>
      <c r="G128" t="str">
        <f>_xlfn.XLOOKUP(B128,'Produtos &amp; Marcas'!B:B,'Produtos &amp; Marcas'!F:F)</f>
        <v>Dona Benta</v>
      </c>
      <c r="H128" t="s">
        <v>25</v>
      </c>
      <c r="I128">
        <f>_xlfn.XLOOKUP(H128,'Base Mercado'!C:C,'Base Mercado'!A:A)</f>
        <v>1</v>
      </c>
      <c r="J128" s="8">
        <v>5.49</v>
      </c>
      <c r="L128" s="8">
        <f t="shared" si="3"/>
        <v>5.49</v>
      </c>
      <c r="M128" s="13"/>
    </row>
    <row r="129" spans="1:13" x14ac:dyDescent="0.3">
      <c r="A129" s="3">
        <v>19</v>
      </c>
      <c r="B129" t="str">
        <f>_xlfn.XLOOKUP(A129,'Produtos &amp; Marcas'!A:A,'Produtos &amp; Marcas'!B:B)</f>
        <v>Farinha de Trigo | Dona Benta | 1 | Kg</v>
      </c>
      <c r="C129" t="str">
        <f>_xlfn.XLOOKUP(B129,'Produtos &amp; Marcas'!B:B,'Produtos &amp; Marcas'!C:C)</f>
        <v>Farinha de Trigo</v>
      </c>
      <c r="D129" t="str">
        <f>_xlfn.XLOOKUP(B129,'Produtos &amp; Marcas'!B:B,'Produtos &amp; Marcas'!D:D)</f>
        <v>Kg</v>
      </c>
      <c r="E129" s="3">
        <f>_xlfn.XLOOKUP(B129,'Produtos &amp; Marcas'!B:B,'Produtos &amp; Marcas'!E:E)</f>
        <v>1</v>
      </c>
      <c r="F129" s="8">
        <f t="shared" si="2"/>
        <v>4.49</v>
      </c>
      <c r="G129" t="str">
        <f>_xlfn.XLOOKUP(B129,'Produtos &amp; Marcas'!B:B,'Produtos &amp; Marcas'!F:F)</f>
        <v>Dona Benta</v>
      </c>
      <c r="H129" t="s">
        <v>27</v>
      </c>
      <c r="I129">
        <f>_xlfn.XLOOKUP(H129,'Base Mercado'!C:C,'Base Mercado'!A:A)</f>
        <v>2</v>
      </c>
      <c r="J129" s="8">
        <v>4.49</v>
      </c>
      <c r="L129" s="8">
        <f t="shared" si="3"/>
        <v>4.49</v>
      </c>
      <c r="M129" s="13"/>
    </row>
    <row r="130" spans="1:13" x14ac:dyDescent="0.3">
      <c r="A130" s="3">
        <v>19</v>
      </c>
      <c r="B130" t="str">
        <f>_xlfn.XLOOKUP(A130,'Produtos &amp; Marcas'!A:A,'Produtos &amp; Marcas'!B:B)</f>
        <v>Farinha de Trigo | Dona Benta | 1 | Kg</v>
      </c>
      <c r="C130" t="str">
        <f>_xlfn.XLOOKUP(B130,'Produtos &amp; Marcas'!B:B,'Produtos &amp; Marcas'!C:C)</f>
        <v>Farinha de Trigo</v>
      </c>
      <c r="D130" t="str">
        <f>_xlfn.XLOOKUP(B130,'Produtos &amp; Marcas'!B:B,'Produtos &amp; Marcas'!D:D)</f>
        <v>Kg</v>
      </c>
      <c r="E130" s="3">
        <f>_xlfn.XLOOKUP(B130,'Produtos &amp; Marcas'!B:B,'Produtos &amp; Marcas'!E:E)</f>
        <v>1</v>
      </c>
      <c r="F130" s="8">
        <f t="shared" ref="F130:F193" si="4">J130/E130</f>
        <v>7.49</v>
      </c>
      <c r="G130" t="str">
        <f>_xlfn.XLOOKUP(B130,'Produtos &amp; Marcas'!B:B,'Produtos &amp; Marcas'!F:F)</f>
        <v>Dona Benta</v>
      </c>
      <c r="H130" t="s">
        <v>26</v>
      </c>
      <c r="I130">
        <f>_xlfn.XLOOKUP(H130,'Base Mercado'!C:C,'Base Mercado'!A:A)</f>
        <v>3</v>
      </c>
      <c r="J130" s="8">
        <v>7.49</v>
      </c>
      <c r="L130" s="8">
        <f t="shared" si="3"/>
        <v>7.49</v>
      </c>
      <c r="M130" s="13"/>
    </row>
    <row r="131" spans="1:13" x14ac:dyDescent="0.3">
      <c r="A131" s="3">
        <v>19</v>
      </c>
      <c r="B131" t="str">
        <f>_xlfn.XLOOKUP(A131,'Produtos &amp; Marcas'!A:A,'Produtos &amp; Marcas'!B:B)</f>
        <v>Farinha de Trigo | Dona Benta | 1 | Kg</v>
      </c>
      <c r="C131" t="str">
        <f>_xlfn.XLOOKUP(B131,'Produtos &amp; Marcas'!B:B,'Produtos &amp; Marcas'!C:C)</f>
        <v>Farinha de Trigo</v>
      </c>
      <c r="D131" t="str">
        <f>_xlfn.XLOOKUP(B131,'Produtos &amp; Marcas'!B:B,'Produtos &amp; Marcas'!D:D)</f>
        <v>Kg</v>
      </c>
      <c r="E131" s="3">
        <f>_xlfn.XLOOKUP(B131,'Produtos &amp; Marcas'!B:B,'Produtos &amp; Marcas'!E:E)</f>
        <v>1</v>
      </c>
      <c r="F131" s="8">
        <f t="shared" si="4"/>
        <v>5.49</v>
      </c>
      <c r="G131" t="str">
        <f>_xlfn.XLOOKUP(B131,'Produtos &amp; Marcas'!B:B,'Produtos &amp; Marcas'!F:F)</f>
        <v>Dona Benta</v>
      </c>
      <c r="H131" t="s">
        <v>28</v>
      </c>
      <c r="I131">
        <f>_xlfn.XLOOKUP(H131,'Base Mercado'!C:C,'Base Mercado'!A:A)</f>
        <v>4</v>
      </c>
      <c r="J131" s="8">
        <v>5.49</v>
      </c>
      <c r="L131" s="8">
        <f t="shared" ref="L131:L194" si="5">IF(AND(K131&lt;&gt;"",K131&lt;J131),K131,J131)</f>
        <v>5.49</v>
      </c>
      <c r="M131" s="13"/>
    </row>
    <row r="132" spans="1:13" x14ac:dyDescent="0.3">
      <c r="A132" s="3">
        <v>19</v>
      </c>
      <c r="B132" t="str">
        <f>_xlfn.XLOOKUP(A132,'Produtos &amp; Marcas'!A:A,'Produtos &amp; Marcas'!B:B)</f>
        <v>Farinha de Trigo | Dona Benta | 1 | Kg</v>
      </c>
      <c r="C132" t="str">
        <f>_xlfn.XLOOKUP(B132,'Produtos &amp; Marcas'!B:B,'Produtos &amp; Marcas'!C:C)</f>
        <v>Farinha de Trigo</v>
      </c>
      <c r="D132" t="str">
        <f>_xlfn.XLOOKUP(B132,'Produtos &amp; Marcas'!B:B,'Produtos &amp; Marcas'!D:D)</f>
        <v>Kg</v>
      </c>
      <c r="E132" s="3">
        <f>_xlfn.XLOOKUP(B132,'Produtos &amp; Marcas'!B:B,'Produtos &amp; Marcas'!E:E)</f>
        <v>1</v>
      </c>
      <c r="F132" s="8">
        <f t="shared" si="4"/>
        <v>7.49</v>
      </c>
      <c r="G132" t="str">
        <f>_xlfn.XLOOKUP(B132,'Produtos &amp; Marcas'!B:B,'Produtos &amp; Marcas'!F:F)</f>
        <v>Dona Benta</v>
      </c>
      <c r="H132" t="s">
        <v>29</v>
      </c>
      <c r="I132">
        <f>_xlfn.XLOOKUP(H132,'Base Mercado'!C:C,'Base Mercado'!A:A)</f>
        <v>5</v>
      </c>
      <c r="J132" s="8">
        <v>7.49</v>
      </c>
      <c r="L132" s="8">
        <f t="shared" si="5"/>
        <v>7.49</v>
      </c>
      <c r="M132" s="13"/>
    </row>
    <row r="133" spans="1:13" x14ac:dyDescent="0.3">
      <c r="A133" s="3">
        <v>19</v>
      </c>
      <c r="B133" t="str">
        <f>_xlfn.XLOOKUP(A133,'Produtos &amp; Marcas'!A:A,'Produtos &amp; Marcas'!B:B)</f>
        <v>Farinha de Trigo | Dona Benta | 1 | Kg</v>
      </c>
      <c r="C133" t="str">
        <f>_xlfn.XLOOKUP(B133,'Produtos &amp; Marcas'!B:B,'Produtos &amp; Marcas'!C:C)</f>
        <v>Farinha de Trigo</v>
      </c>
      <c r="D133" t="str">
        <f>_xlfn.XLOOKUP(B133,'Produtos &amp; Marcas'!B:B,'Produtos &amp; Marcas'!D:D)</f>
        <v>Kg</v>
      </c>
      <c r="E133" s="3">
        <f>_xlfn.XLOOKUP(B133,'Produtos &amp; Marcas'!B:B,'Produtos &amp; Marcas'!E:E)</f>
        <v>1</v>
      </c>
      <c r="F133" s="8">
        <f t="shared" si="4"/>
        <v>7.49</v>
      </c>
      <c r="G133" t="str">
        <f>_xlfn.XLOOKUP(B133,'Produtos &amp; Marcas'!B:B,'Produtos &amp; Marcas'!F:F)</f>
        <v>Dona Benta</v>
      </c>
      <c r="H133" t="s">
        <v>30</v>
      </c>
      <c r="I133">
        <f>_xlfn.XLOOKUP(H133,'Base Mercado'!C:C,'Base Mercado'!A:A)</f>
        <v>6</v>
      </c>
      <c r="J133" s="8">
        <v>7.49</v>
      </c>
      <c r="L133" s="8">
        <f t="shared" si="5"/>
        <v>7.49</v>
      </c>
      <c r="M133" s="13"/>
    </row>
    <row r="134" spans="1:13" x14ac:dyDescent="0.3">
      <c r="A134" s="3">
        <v>19</v>
      </c>
      <c r="B134" t="str">
        <f>_xlfn.XLOOKUP(A134,'Produtos &amp; Marcas'!A:A,'Produtos &amp; Marcas'!B:B)</f>
        <v>Farinha de Trigo | Dona Benta | 1 | Kg</v>
      </c>
      <c r="C134" t="str">
        <f>_xlfn.XLOOKUP(B134,'Produtos &amp; Marcas'!B:B,'Produtos &amp; Marcas'!C:C)</f>
        <v>Farinha de Trigo</v>
      </c>
      <c r="D134" t="str">
        <f>_xlfn.XLOOKUP(B134,'Produtos &amp; Marcas'!B:B,'Produtos &amp; Marcas'!D:D)</f>
        <v>Kg</v>
      </c>
      <c r="E134" s="3">
        <f>_xlfn.XLOOKUP(B134,'Produtos &amp; Marcas'!B:B,'Produtos &amp; Marcas'!E:E)</f>
        <v>1</v>
      </c>
      <c r="F134" s="8">
        <f t="shared" si="4"/>
        <v>5.49</v>
      </c>
      <c r="G134" t="str">
        <f>_xlfn.XLOOKUP(B134,'Produtos &amp; Marcas'!B:B,'Produtos &amp; Marcas'!F:F)</f>
        <v>Dona Benta</v>
      </c>
      <c r="H134" t="s">
        <v>31</v>
      </c>
      <c r="I134">
        <f>_xlfn.XLOOKUP(H134,'Base Mercado'!C:C,'Base Mercado'!A:A)</f>
        <v>7</v>
      </c>
      <c r="J134" s="8">
        <v>5.49</v>
      </c>
      <c r="L134" s="8">
        <f t="shared" si="5"/>
        <v>5.49</v>
      </c>
      <c r="M134" s="13"/>
    </row>
    <row r="135" spans="1:13" x14ac:dyDescent="0.3">
      <c r="A135" s="3">
        <v>20</v>
      </c>
      <c r="B135" t="str">
        <f>_xlfn.XLOOKUP(A135,'Produtos &amp; Marcas'!A:A,'Produtos &amp; Marcas'!B:B)</f>
        <v>Farinha de Trigo | Fleischmann | 1 | Kg</v>
      </c>
      <c r="C135" t="str">
        <f>_xlfn.XLOOKUP(B135,'Produtos &amp; Marcas'!B:B,'Produtos &amp; Marcas'!C:C)</f>
        <v>Farinha de Trigo</v>
      </c>
      <c r="D135" t="str">
        <f>_xlfn.XLOOKUP(B135,'Produtos &amp; Marcas'!B:B,'Produtos &amp; Marcas'!D:D)</f>
        <v>Kg</v>
      </c>
      <c r="E135" s="3">
        <f>_xlfn.XLOOKUP(B135,'Produtos &amp; Marcas'!B:B,'Produtos &amp; Marcas'!E:E)</f>
        <v>1</v>
      </c>
      <c r="F135" s="8">
        <f t="shared" si="4"/>
        <v>6.99</v>
      </c>
      <c r="G135" t="str">
        <f>_xlfn.XLOOKUP(B135,'Produtos &amp; Marcas'!B:B,'Produtos &amp; Marcas'!F:F)</f>
        <v>Fleischmann</v>
      </c>
      <c r="H135" t="s">
        <v>25</v>
      </c>
      <c r="I135">
        <f>_xlfn.XLOOKUP(H135,'Base Mercado'!C:C,'Base Mercado'!A:A)</f>
        <v>1</v>
      </c>
      <c r="J135" s="8">
        <v>6.99</v>
      </c>
      <c r="L135" s="8">
        <f t="shared" si="5"/>
        <v>6.99</v>
      </c>
      <c r="M135" s="13"/>
    </row>
    <row r="136" spans="1:13" x14ac:dyDescent="0.3">
      <c r="A136" s="3">
        <v>20</v>
      </c>
      <c r="B136" t="str">
        <f>_xlfn.XLOOKUP(A136,'Produtos &amp; Marcas'!A:A,'Produtos &amp; Marcas'!B:B)</f>
        <v>Farinha de Trigo | Fleischmann | 1 | Kg</v>
      </c>
      <c r="C136" t="str">
        <f>_xlfn.XLOOKUP(B136,'Produtos &amp; Marcas'!B:B,'Produtos &amp; Marcas'!C:C)</f>
        <v>Farinha de Trigo</v>
      </c>
      <c r="D136" t="str">
        <f>_xlfn.XLOOKUP(B136,'Produtos &amp; Marcas'!B:B,'Produtos &amp; Marcas'!D:D)</f>
        <v>Kg</v>
      </c>
      <c r="E136" s="3">
        <f>_xlfn.XLOOKUP(B136,'Produtos &amp; Marcas'!B:B,'Produtos &amp; Marcas'!E:E)</f>
        <v>1</v>
      </c>
      <c r="F136" s="8">
        <f t="shared" si="4"/>
        <v>8.99</v>
      </c>
      <c r="G136" t="str">
        <f>_xlfn.XLOOKUP(B136,'Produtos &amp; Marcas'!B:B,'Produtos &amp; Marcas'!F:F)</f>
        <v>Fleischmann</v>
      </c>
      <c r="H136" t="s">
        <v>27</v>
      </c>
      <c r="I136">
        <f>_xlfn.XLOOKUP(H136,'Base Mercado'!C:C,'Base Mercado'!A:A)</f>
        <v>2</v>
      </c>
      <c r="J136" s="8">
        <v>8.99</v>
      </c>
      <c r="L136" s="8">
        <f t="shared" si="5"/>
        <v>8.99</v>
      </c>
      <c r="M136" s="13"/>
    </row>
    <row r="137" spans="1:13" x14ac:dyDescent="0.3">
      <c r="A137" s="3">
        <v>20</v>
      </c>
      <c r="B137" t="str">
        <f>_xlfn.XLOOKUP(A137,'Produtos &amp; Marcas'!A:A,'Produtos &amp; Marcas'!B:B)</f>
        <v>Farinha de Trigo | Fleischmann | 1 | Kg</v>
      </c>
      <c r="C137" t="str">
        <f>_xlfn.XLOOKUP(B137,'Produtos &amp; Marcas'!B:B,'Produtos &amp; Marcas'!C:C)</f>
        <v>Farinha de Trigo</v>
      </c>
      <c r="D137" t="str">
        <f>_xlfn.XLOOKUP(B137,'Produtos &amp; Marcas'!B:B,'Produtos &amp; Marcas'!D:D)</f>
        <v>Kg</v>
      </c>
      <c r="E137" s="3">
        <f>_xlfn.XLOOKUP(B137,'Produtos &amp; Marcas'!B:B,'Produtos &amp; Marcas'!E:E)</f>
        <v>1</v>
      </c>
      <c r="F137" s="8">
        <f t="shared" si="4"/>
        <v>5.99</v>
      </c>
      <c r="G137" t="str">
        <f>_xlfn.XLOOKUP(B137,'Produtos &amp; Marcas'!B:B,'Produtos &amp; Marcas'!F:F)</f>
        <v>Fleischmann</v>
      </c>
      <c r="H137" t="s">
        <v>26</v>
      </c>
      <c r="I137">
        <f>_xlfn.XLOOKUP(H137,'Base Mercado'!C:C,'Base Mercado'!A:A)</f>
        <v>3</v>
      </c>
      <c r="J137" s="8">
        <v>5.99</v>
      </c>
      <c r="L137" s="8">
        <f t="shared" si="5"/>
        <v>5.99</v>
      </c>
      <c r="M137" s="13"/>
    </row>
    <row r="138" spans="1:13" x14ac:dyDescent="0.3">
      <c r="A138" s="3">
        <v>20</v>
      </c>
      <c r="B138" t="str">
        <f>_xlfn.XLOOKUP(A138,'Produtos &amp; Marcas'!A:A,'Produtos &amp; Marcas'!B:B)</f>
        <v>Farinha de Trigo | Fleischmann | 1 | Kg</v>
      </c>
      <c r="C138" t="str">
        <f>_xlfn.XLOOKUP(B138,'Produtos &amp; Marcas'!B:B,'Produtos &amp; Marcas'!C:C)</f>
        <v>Farinha de Trigo</v>
      </c>
      <c r="D138" t="str">
        <f>_xlfn.XLOOKUP(B138,'Produtos &amp; Marcas'!B:B,'Produtos &amp; Marcas'!D:D)</f>
        <v>Kg</v>
      </c>
      <c r="E138" s="3">
        <f>_xlfn.XLOOKUP(B138,'Produtos &amp; Marcas'!B:B,'Produtos &amp; Marcas'!E:E)</f>
        <v>1</v>
      </c>
      <c r="F138" s="8">
        <f t="shared" si="4"/>
        <v>7.99</v>
      </c>
      <c r="G138" t="str">
        <f>_xlfn.XLOOKUP(B138,'Produtos &amp; Marcas'!B:B,'Produtos &amp; Marcas'!F:F)</f>
        <v>Fleischmann</v>
      </c>
      <c r="H138" t="s">
        <v>28</v>
      </c>
      <c r="I138">
        <f>_xlfn.XLOOKUP(H138,'Base Mercado'!C:C,'Base Mercado'!A:A)</f>
        <v>4</v>
      </c>
      <c r="J138" s="8">
        <v>7.99</v>
      </c>
      <c r="L138" s="8">
        <f t="shared" si="5"/>
        <v>7.99</v>
      </c>
      <c r="M138" s="13"/>
    </row>
    <row r="139" spans="1:13" x14ac:dyDescent="0.3">
      <c r="A139" s="3">
        <v>20</v>
      </c>
      <c r="B139" t="str">
        <f>_xlfn.XLOOKUP(A139,'Produtos &amp; Marcas'!A:A,'Produtos &amp; Marcas'!B:B)</f>
        <v>Farinha de Trigo | Fleischmann | 1 | Kg</v>
      </c>
      <c r="C139" t="str">
        <f>_xlfn.XLOOKUP(B139,'Produtos &amp; Marcas'!B:B,'Produtos &amp; Marcas'!C:C)</f>
        <v>Farinha de Trigo</v>
      </c>
      <c r="D139" t="str">
        <f>_xlfn.XLOOKUP(B139,'Produtos &amp; Marcas'!B:B,'Produtos &amp; Marcas'!D:D)</f>
        <v>Kg</v>
      </c>
      <c r="E139" s="3">
        <f>_xlfn.XLOOKUP(B139,'Produtos &amp; Marcas'!B:B,'Produtos &amp; Marcas'!E:E)</f>
        <v>1</v>
      </c>
      <c r="F139" s="8">
        <f t="shared" si="4"/>
        <v>5.99</v>
      </c>
      <c r="G139" t="str">
        <f>_xlfn.XLOOKUP(B139,'Produtos &amp; Marcas'!B:B,'Produtos &amp; Marcas'!F:F)</f>
        <v>Fleischmann</v>
      </c>
      <c r="H139" t="s">
        <v>29</v>
      </c>
      <c r="I139">
        <f>_xlfn.XLOOKUP(H139,'Base Mercado'!C:C,'Base Mercado'!A:A)</f>
        <v>5</v>
      </c>
      <c r="J139" s="8">
        <v>5.99</v>
      </c>
      <c r="L139" s="8">
        <f t="shared" si="5"/>
        <v>5.99</v>
      </c>
      <c r="M139" s="13"/>
    </row>
    <row r="140" spans="1:13" x14ac:dyDescent="0.3">
      <c r="A140" s="3">
        <v>20</v>
      </c>
      <c r="B140" t="str">
        <f>_xlfn.XLOOKUP(A140,'Produtos &amp; Marcas'!A:A,'Produtos &amp; Marcas'!B:B)</f>
        <v>Farinha de Trigo | Fleischmann | 1 | Kg</v>
      </c>
      <c r="C140" t="str">
        <f>_xlfn.XLOOKUP(B140,'Produtos &amp; Marcas'!B:B,'Produtos &amp; Marcas'!C:C)</f>
        <v>Farinha de Trigo</v>
      </c>
      <c r="D140" t="str">
        <f>_xlfn.XLOOKUP(B140,'Produtos &amp; Marcas'!B:B,'Produtos &amp; Marcas'!D:D)</f>
        <v>Kg</v>
      </c>
      <c r="E140" s="3">
        <f>_xlfn.XLOOKUP(B140,'Produtos &amp; Marcas'!B:B,'Produtos &amp; Marcas'!E:E)</f>
        <v>1</v>
      </c>
      <c r="F140" s="8">
        <f t="shared" si="4"/>
        <v>7.99</v>
      </c>
      <c r="G140" t="str">
        <f>_xlfn.XLOOKUP(B140,'Produtos &amp; Marcas'!B:B,'Produtos &amp; Marcas'!F:F)</f>
        <v>Fleischmann</v>
      </c>
      <c r="H140" t="s">
        <v>30</v>
      </c>
      <c r="I140">
        <f>_xlfn.XLOOKUP(H140,'Base Mercado'!C:C,'Base Mercado'!A:A)</f>
        <v>6</v>
      </c>
      <c r="J140" s="8">
        <v>7.99</v>
      </c>
      <c r="L140" s="8">
        <f t="shared" si="5"/>
        <v>7.99</v>
      </c>
      <c r="M140" s="13"/>
    </row>
    <row r="141" spans="1:13" x14ac:dyDescent="0.3">
      <c r="A141" s="3">
        <v>20</v>
      </c>
      <c r="B141" t="str">
        <f>_xlfn.XLOOKUP(A141,'Produtos &amp; Marcas'!A:A,'Produtos &amp; Marcas'!B:B)</f>
        <v>Farinha de Trigo | Fleischmann | 1 | Kg</v>
      </c>
      <c r="C141" t="str">
        <f>_xlfn.XLOOKUP(B141,'Produtos &amp; Marcas'!B:B,'Produtos &amp; Marcas'!C:C)</f>
        <v>Farinha de Trigo</v>
      </c>
      <c r="D141" t="str">
        <f>_xlfn.XLOOKUP(B141,'Produtos &amp; Marcas'!B:B,'Produtos &amp; Marcas'!D:D)</f>
        <v>Kg</v>
      </c>
      <c r="E141" s="3">
        <f>_xlfn.XLOOKUP(B141,'Produtos &amp; Marcas'!B:B,'Produtos &amp; Marcas'!E:E)</f>
        <v>1</v>
      </c>
      <c r="F141" s="8">
        <f t="shared" si="4"/>
        <v>7.99</v>
      </c>
      <c r="G141" t="str">
        <f>_xlfn.XLOOKUP(B141,'Produtos &amp; Marcas'!B:B,'Produtos &amp; Marcas'!F:F)</f>
        <v>Fleischmann</v>
      </c>
      <c r="H141" t="s">
        <v>31</v>
      </c>
      <c r="I141">
        <f>_xlfn.XLOOKUP(H141,'Base Mercado'!C:C,'Base Mercado'!A:A)</f>
        <v>7</v>
      </c>
      <c r="J141" s="8">
        <v>7.99</v>
      </c>
      <c r="L141" s="8">
        <f t="shared" si="5"/>
        <v>7.99</v>
      </c>
      <c r="M141" s="13"/>
    </row>
    <row r="142" spans="1:13" x14ac:dyDescent="0.3">
      <c r="A142" s="3">
        <v>21</v>
      </c>
      <c r="B142" t="str">
        <f>_xlfn.XLOOKUP(A142,'Produtos &amp; Marcas'!A:A,'Produtos &amp; Marcas'!B:B)</f>
        <v>Farinha de Trigo | Rosa Branca | 1 | Kg</v>
      </c>
      <c r="C142" t="str">
        <f>_xlfn.XLOOKUP(B142,'Produtos &amp; Marcas'!B:B,'Produtos &amp; Marcas'!C:C)</f>
        <v>Farinha de Trigo</v>
      </c>
      <c r="D142" t="str">
        <f>_xlfn.XLOOKUP(B142,'Produtos &amp; Marcas'!B:B,'Produtos &amp; Marcas'!D:D)</f>
        <v>Kg</v>
      </c>
      <c r="E142" s="3">
        <f>_xlfn.XLOOKUP(B142,'Produtos &amp; Marcas'!B:B,'Produtos &amp; Marcas'!E:E)</f>
        <v>1</v>
      </c>
      <c r="F142" s="8">
        <f t="shared" si="4"/>
        <v>5.85</v>
      </c>
      <c r="G142" t="str">
        <f>_xlfn.XLOOKUP(B142,'Produtos &amp; Marcas'!B:B,'Produtos &amp; Marcas'!F:F)</f>
        <v>Rosa Branca</v>
      </c>
      <c r="H142" t="s">
        <v>25</v>
      </c>
      <c r="I142">
        <f>_xlfn.XLOOKUP(H142,'Base Mercado'!C:C,'Base Mercado'!A:A)</f>
        <v>1</v>
      </c>
      <c r="J142" s="8">
        <v>5.85</v>
      </c>
      <c r="L142" s="8">
        <f t="shared" si="5"/>
        <v>5.85</v>
      </c>
      <c r="M142" s="13"/>
    </row>
    <row r="143" spans="1:13" x14ac:dyDescent="0.3">
      <c r="A143" s="3">
        <v>21</v>
      </c>
      <c r="B143" t="str">
        <f>_xlfn.XLOOKUP(A143,'Produtos &amp; Marcas'!A:A,'Produtos &amp; Marcas'!B:B)</f>
        <v>Farinha de Trigo | Rosa Branca | 1 | Kg</v>
      </c>
      <c r="C143" t="str">
        <f>_xlfn.XLOOKUP(B143,'Produtos &amp; Marcas'!B:B,'Produtos &amp; Marcas'!C:C)</f>
        <v>Farinha de Trigo</v>
      </c>
      <c r="D143" t="str">
        <f>_xlfn.XLOOKUP(B143,'Produtos &amp; Marcas'!B:B,'Produtos &amp; Marcas'!D:D)</f>
        <v>Kg</v>
      </c>
      <c r="E143" s="3">
        <f>_xlfn.XLOOKUP(B143,'Produtos &amp; Marcas'!B:B,'Produtos &amp; Marcas'!E:E)</f>
        <v>1</v>
      </c>
      <c r="F143" s="8">
        <f t="shared" si="4"/>
        <v>6.85</v>
      </c>
      <c r="G143" t="str">
        <f>_xlfn.XLOOKUP(B143,'Produtos &amp; Marcas'!B:B,'Produtos &amp; Marcas'!F:F)</f>
        <v>Rosa Branca</v>
      </c>
      <c r="H143" t="s">
        <v>27</v>
      </c>
      <c r="I143">
        <f>_xlfn.XLOOKUP(H143,'Base Mercado'!C:C,'Base Mercado'!A:A)</f>
        <v>2</v>
      </c>
      <c r="J143" s="8">
        <v>6.85</v>
      </c>
      <c r="L143" s="8">
        <f t="shared" si="5"/>
        <v>6.85</v>
      </c>
      <c r="M143" s="13"/>
    </row>
    <row r="144" spans="1:13" x14ac:dyDescent="0.3">
      <c r="A144" s="3">
        <v>21</v>
      </c>
      <c r="B144" t="str">
        <f>_xlfn.XLOOKUP(A144,'Produtos &amp; Marcas'!A:A,'Produtos &amp; Marcas'!B:B)</f>
        <v>Farinha de Trigo | Rosa Branca | 1 | Kg</v>
      </c>
      <c r="C144" t="str">
        <f>_xlfn.XLOOKUP(B144,'Produtos &amp; Marcas'!B:B,'Produtos &amp; Marcas'!C:C)</f>
        <v>Farinha de Trigo</v>
      </c>
      <c r="D144" t="str">
        <f>_xlfn.XLOOKUP(B144,'Produtos &amp; Marcas'!B:B,'Produtos &amp; Marcas'!D:D)</f>
        <v>Kg</v>
      </c>
      <c r="E144" s="3">
        <f>_xlfn.XLOOKUP(B144,'Produtos &amp; Marcas'!B:B,'Produtos &amp; Marcas'!E:E)</f>
        <v>1</v>
      </c>
      <c r="F144" s="8">
        <f t="shared" si="4"/>
        <v>7.85</v>
      </c>
      <c r="G144" t="str">
        <f>_xlfn.XLOOKUP(B144,'Produtos &amp; Marcas'!B:B,'Produtos &amp; Marcas'!F:F)</f>
        <v>Rosa Branca</v>
      </c>
      <c r="H144" t="s">
        <v>26</v>
      </c>
      <c r="I144">
        <f>_xlfn.XLOOKUP(H144,'Base Mercado'!C:C,'Base Mercado'!A:A)</f>
        <v>3</v>
      </c>
      <c r="J144" s="8">
        <v>7.85</v>
      </c>
      <c r="K144" s="8">
        <v>7.72</v>
      </c>
      <c r="L144" s="8">
        <f t="shared" si="5"/>
        <v>7.72</v>
      </c>
      <c r="M144" s="13"/>
    </row>
    <row r="145" spans="1:13" x14ac:dyDescent="0.3">
      <c r="A145" s="3">
        <v>21</v>
      </c>
      <c r="B145" t="str">
        <f>_xlfn.XLOOKUP(A145,'Produtos &amp; Marcas'!A:A,'Produtos &amp; Marcas'!B:B)</f>
        <v>Farinha de Trigo | Rosa Branca | 1 | Kg</v>
      </c>
      <c r="C145" t="str">
        <f>_xlfn.XLOOKUP(B145,'Produtos &amp; Marcas'!B:B,'Produtos &amp; Marcas'!C:C)</f>
        <v>Farinha de Trigo</v>
      </c>
      <c r="D145" t="str">
        <f>_xlfn.XLOOKUP(B145,'Produtos &amp; Marcas'!B:B,'Produtos &amp; Marcas'!D:D)</f>
        <v>Kg</v>
      </c>
      <c r="E145" s="3">
        <f>_xlfn.XLOOKUP(B145,'Produtos &amp; Marcas'!B:B,'Produtos &amp; Marcas'!E:E)</f>
        <v>1</v>
      </c>
      <c r="F145" s="8">
        <f t="shared" si="4"/>
        <v>5.85</v>
      </c>
      <c r="G145" t="str">
        <f>_xlfn.XLOOKUP(B145,'Produtos &amp; Marcas'!B:B,'Produtos &amp; Marcas'!F:F)</f>
        <v>Rosa Branca</v>
      </c>
      <c r="H145" t="s">
        <v>28</v>
      </c>
      <c r="I145">
        <f>_xlfn.XLOOKUP(H145,'Base Mercado'!C:C,'Base Mercado'!A:A)</f>
        <v>4</v>
      </c>
      <c r="J145" s="8">
        <v>5.85</v>
      </c>
      <c r="K145" s="8">
        <v>5.72</v>
      </c>
      <c r="L145" s="8">
        <f t="shared" si="5"/>
        <v>5.72</v>
      </c>
      <c r="M145" s="13"/>
    </row>
    <row r="146" spans="1:13" x14ac:dyDescent="0.3">
      <c r="A146" s="3">
        <v>21</v>
      </c>
      <c r="B146" t="str">
        <f>_xlfn.XLOOKUP(A146,'Produtos &amp; Marcas'!A:A,'Produtos &amp; Marcas'!B:B)</f>
        <v>Farinha de Trigo | Rosa Branca | 1 | Kg</v>
      </c>
      <c r="C146" t="str">
        <f>_xlfn.XLOOKUP(B146,'Produtos &amp; Marcas'!B:B,'Produtos &amp; Marcas'!C:C)</f>
        <v>Farinha de Trigo</v>
      </c>
      <c r="D146" t="str">
        <f>_xlfn.XLOOKUP(B146,'Produtos &amp; Marcas'!B:B,'Produtos &amp; Marcas'!D:D)</f>
        <v>Kg</v>
      </c>
      <c r="E146" s="3">
        <f>_xlfn.XLOOKUP(B146,'Produtos &amp; Marcas'!B:B,'Produtos &amp; Marcas'!E:E)</f>
        <v>1</v>
      </c>
      <c r="F146" s="8">
        <f t="shared" si="4"/>
        <v>5.85</v>
      </c>
      <c r="G146" t="str">
        <f>_xlfn.XLOOKUP(B146,'Produtos &amp; Marcas'!B:B,'Produtos &amp; Marcas'!F:F)</f>
        <v>Rosa Branca</v>
      </c>
      <c r="H146" t="s">
        <v>29</v>
      </c>
      <c r="I146">
        <f>_xlfn.XLOOKUP(H146,'Base Mercado'!C:C,'Base Mercado'!A:A)</f>
        <v>5</v>
      </c>
      <c r="J146" s="8">
        <v>5.85</v>
      </c>
      <c r="K146" s="8">
        <v>5.72</v>
      </c>
      <c r="L146" s="8">
        <f t="shared" si="5"/>
        <v>5.72</v>
      </c>
      <c r="M146" s="13"/>
    </row>
    <row r="147" spans="1:13" x14ac:dyDescent="0.3">
      <c r="A147" s="3">
        <v>21</v>
      </c>
      <c r="B147" t="str">
        <f>_xlfn.XLOOKUP(A147,'Produtos &amp; Marcas'!A:A,'Produtos &amp; Marcas'!B:B)</f>
        <v>Farinha de Trigo | Rosa Branca | 1 | Kg</v>
      </c>
      <c r="C147" t="str">
        <f>_xlfn.XLOOKUP(B147,'Produtos &amp; Marcas'!B:B,'Produtos &amp; Marcas'!C:C)</f>
        <v>Farinha de Trigo</v>
      </c>
      <c r="D147" t="str">
        <f>_xlfn.XLOOKUP(B147,'Produtos &amp; Marcas'!B:B,'Produtos &amp; Marcas'!D:D)</f>
        <v>Kg</v>
      </c>
      <c r="E147" s="3">
        <f>_xlfn.XLOOKUP(B147,'Produtos &amp; Marcas'!B:B,'Produtos &amp; Marcas'!E:E)</f>
        <v>1</v>
      </c>
      <c r="F147" s="8">
        <f t="shared" si="4"/>
        <v>4.8499999999999996</v>
      </c>
      <c r="G147" t="str">
        <f>_xlfn.XLOOKUP(B147,'Produtos &amp; Marcas'!B:B,'Produtos &amp; Marcas'!F:F)</f>
        <v>Rosa Branca</v>
      </c>
      <c r="H147" t="s">
        <v>30</v>
      </c>
      <c r="I147">
        <f>_xlfn.XLOOKUP(H147,'Base Mercado'!C:C,'Base Mercado'!A:A)</f>
        <v>6</v>
      </c>
      <c r="J147" s="8">
        <v>4.8499999999999996</v>
      </c>
      <c r="K147" s="8">
        <v>4.72</v>
      </c>
      <c r="L147" s="8">
        <f t="shared" si="5"/>
        <v>4.72</v>
      </c>
      <c r="M147" s="13"/>
    </row>
    <row r="148" spans="1:13" x14ac:dyDescent="0.3">
      <c r="A148" s="3">
        <v>21</v>
      </c>
      <c r="B148" t="str">
        <f>_xlfn.XLOOKUP(A148,'Produtos &amp; Marcas'!A:A,'Produtos &amp; Marcas'!B:B)</f>
        <v>Farinha de Trigo | Rosa Branca | 1 | Kg</v>
      </c>
      <c r="C148" t="str">
        <f>_xlfn.XLOOKUP(B148,'Produtos &amp; Marcas'!B:B,'Produtos &amp; Marcas'!C:C)</f>
        <v>Farinha de Trigo</v>
      </c>
      <c r="D148" t="str">
        <f>_xlfn.XLOOKUP(B148,'Produtos &amp; Marcas'!B:B,'Produtos &amp; Marcas'!D:D)</f>
        <v>Kg</v>
      </c>
      <c r="E148" s="3">
        <f>_xlfn.XLOOKUP(B148,'Produtos &amp; Marcas'!B:B,'Produtos &amp; Marcas'!E:E)</f>
        <v>1</v>
      </c>
      <c r="F148" s="8">
        <f t="shared" si="4"/>
        <v>6.85</v>
      </c>
      <c r="G148" t="str">
        <f>_xlfn.XLOOKUP(B148,'Produtos &amp; Marcas'!B:B,'Produtos &amp; Marcas'!F:F)</f>
        <v>Rosa Branca</v>
      </c>
      <c r="H148" t="s">
        <v>31</v>
      </c>
      <c r="I148">
        <f>_xlfn.XLOOKUP(H148,'Base Mercado'!C:C,'Base Mercado'!A:A)</f>
        <v>7</v>
      </c>
      <c r="J148" s="8">
        <v>6.85</v>
      </c>
      <c r="K148" s="8">
        <v>6.72</v>
      </c>
      <c r="L148" s="8">
        <f t="shared" si="5"/>
        <v>6.72</v>
      </c>
      <c r="M148" s="13"/>
    </row>
    <row r="149" spans="1:13" x14ac:dyDescent="0.3">
      <c r="A149" s="3">
        <v>24</v>
      </c>
      <c r="B149" t="str">
        <f>_xlfn.XLOOKUP(A149,'Produtos &amp; Marcas'!A:A,'Produtos &amp; Marcas'!B:B)</f>
        <v>Feijão | Broto Legal | 1 | Kg</v>
      </c>
      <c r="C149" t="str">
        <f>_xlfn.XLOOKUP(B149,'Produtos &amp; Marcas'!B:B,'Produtos &amp; Marcas'!C:C)</f>
        <v>Feijão</v>
      </c>
      <c r="D149" t="str">
        <f>_xlfn.XLOOKUP(B149,'Produtos &amp; Marcas'!B:B,'Produtos &amp; Marcas'!D:D)</f>
        <v>Kg</v>
      </c>
      <c r="E149" s="3">
        <f>_xlfn.XLOOKUP(B149,'Produtos &amp; Marcas'!B:B,'Produtos &amp; Marcas'!E:E)</f>
        <v>1</v>
      </c>
      <c r="F149" s="8">
        <f t="shared" si="4"/>
        <v>5.5</v>
      </c>
      <c r="G149" t="str">
        <f>_xlfn.XLOOKUP(B149,'Produtos &amp; Marcas'!B:B,'Produtos &amp; Marcas'!F:F)</f>
        <v>Broto Legal</v>
      </c>
      <c r="H149" t="s">
        <v>25</v>
      </c>
      <c r="I149">
        <f>_xlfn.XLOOKUP(H149,'Base Mercado'!C:C,'Base Mercado'!A:A)</f>
        <v>1</v>
      </c>
      <c r="J149" s="8">
        <v>5.5</v>
      </c>
      <c r="K149" s="8">
        <v>5.37</v>
      </c>
      <c r="L149" s="8">
        <f t="shared" si="5"/>
        <v>5.37</v>
      </c>
      <c r="M149" s="13"/>
    </row>
    <row r="150" spans="1:13" x14ac:dyDescent="0.3">
      <c r="A150" s="3">
        <v>24</v>
      </c>
      <c r="B150" t="str">
        <f>_xlfn.XLOOKUP(A150,'Produtos &amp; Marcas'!A:A,'Produtos &amp; Marcas'!B:B)</f>
        <v>Feijão | Broto Legal | 1 | Kg</v>
      </c>
      <c r="C150" t="str">
        <f>_xlfn.XLOOKUP(B150,'Produtos &amp; Marcas'!B:B,'Produtos &amp; Marcas'!C:C)</f>
        <v>Feijão</v>
      </c>
      <c r="D150" t="str">
        <f>_xlfn.XLOOKUP(B150,'Produtos &amp; Marcas'!B:B,'Produtos &amp; Marcas'!D:D)</f>
        <v>Kg</v>
      </c>
      <c r="E150" s="3">
        <f>_xlfn.XLOOKUP(B150,'Produtos &amp; Marcas'!B:B,'Produtos &amp; Marcas'!E:E)</f>
        <v>1</v>
      </c>
      <c r="F150" s="8">
        <f t="shared" si="4"/>
        <v>4.5</v>
      </c>
      <c r="G150" t="str">
        <f>_xlfn.XLOOKUP(B150,'Produtos &amp; Marcas'!B:B,'Produtos &amp; Marcas'!F:F)</f>
        <v>Broto Legal</v>
      </c>
      <c r="H150" t="s">
        <v>27</v>
      </c>
      <c r="I150">
        <f>_xlfn.XLOOKUP(H150,'Base Mercado'!C:C,'Base Mercado'!A:A)</f>
        <v>2</v>
      </c>
      <c r="J150" s="8">
        <v>4.5</v>
      </c>
      <c r="K150" s="8">
        <v>4.37</v>
      </c>
      <c r="L150" s="8">
        <f t="shared" si="5"/>
        <v>4.37</v>
      </c>
      <c r="M150" s="13"/>
    </row>
    <row r="151" spans="1:13" x14ac:dyDescent="0.3">
      <c r="A151" s="3">
        <v>24</v>
      </c>
      <c r="B151" t="str">
        <f>_xlfn.XLOOKUP(A151,'Produtos &amp; Marcas'!A:A,'Produtos &amp; Marcas'!B:B)</f>
        <v>Feijão | Broto Legal | 1 | Kg</v>
      </c>
      <c r="C151" t="str">
        <f>_xlfn.XLOOKUP(B151,'Produtos &amp; Marcas'!B:B,'Produtos &amp; Marcas'!C:C)</f>
        <v>Feijão</v>
      </c>
      <c r="D151" t="str">
        <f>_xlfn.XLOOKUP(B151,'Produtos &amp; Marcas'!B:B,'Produtos &amp; Marcas'!D:D)</f>
        <v>Kg</v>
      </c>
      <c r="E151" s="3">
        <f>_xlfn.XLOOKUP(B151,'Produtos &amp; Marcas'!B:B,'Produtos &amp; Marcas'!E:E)</f>
        <v>1</v>
      </c>
      <c r="F151" s="8">
        <f t="shared" si="4"/>
        <v>7.5</v>
      </c>
      <c r="G151" t="str">
        <f>_xlfn.XLOOKUP(B151,'Produtos &amp; Marcas'!B:B,'Produtos &amp; Marcas'!F:F)</f>
        <v>Broto Legal</v>
      </c>
      <c r="H151" t="s">
        <v>26</v>
      </c>
      <c r="I151">
        <f>_xlfn.XLOOKUP(H151,'Base Mercado'!C:C,'Base Mercado'!A:A)</f>
        <v>3</v>
      </c>
      <c r="J151" s="8">
        <v>7.5</v>
      </c>
      <c r="K151" s="8">
        <v>7.37</v>
      </c>
      <c r="L151" s="8">
        <f t="shared" si="5"/>
        <v>7.37</v>
      </c>
      <c r="M151" s="13"/>
    </row>
    <row r="152" spans="1:13" x14ac:dyDescent="0.3">
      <c r="A152" s="3">
        <v>24</v>
      </c>
      <c r="B152" t="str">
        <f>_xlfn.XLOOKUP(A152,'Produtos &amp; Marcas'!A:A,'Produtos &amp; Marcas'!B:B)</f>
        <v>Feijão | Broto Legal | 1 | Kg</v>
      </c>
      <c r="C152" t="str">
        <f>_xlfn.XLOOKUP(B152,'Produtos &amp; Marcas'!B:B,'Produtos &amp; Marcas'!C:C)</f>
        <v>Feijão</v>
      </c>
      <c r="D152" t="str">
        <f>_xlfn.XLOOKUP(B152,'Produtos &amp; Marcas'!B:B,'Produtos &amp; Marcas'!D:D)</f>
        <v>Kg</v>
      </c>
      <c r="E152" s="3">
        <f>_xlfn.XLOOKUP(B152,'Produtos &amp; Marcas'!B:B,'Produtos &amp; Marcas'!E:E)</f>
        <v>1</v>
      </c>
      <c r="F152" s="8">
        <f t="shared" si="4"/>
        <v>6.5</v>
      </c>
      <c r="G152" t="str">
        <f>_xlfn.XLOOKUP(B152,'Produtos &amp; Marcas'!B:B,'Produtos &amp; Marcas'!F:F)</f>
        <v>Broto Legal</v>
      </c>
      <c r="H152" t="s">
        <v>28</v>
      </c>
      <c r="I152">
        <f>_xlfn.XLOOKUP(H152,'Base Mercado'!C:C,'Base Mercado'!A:A)</f>
        <v>4</v>
      </c>
      <c r="J152" s="8">
        <v>6.5</v>
      </c>
      <c r="L152" s="8">
        <f t="shared" si="5"/>
        <v>6.5</v>
      </c>
      <c r="M152" s="13"/>
    </row>
    <row r="153" spans="1:13" x14ac:dyDescent="0.3">
      <c r="A153" s="3">
        <v>24</v>
      </c>
      <c r="B153" t="str">
        <f>_xlfn.XLOOKUP(A153,'Produtos &amp; Marcas'!A:A,'Produtos &amp; Marcas'!B:B)</f>
        <v>Feijão | Broto Legal | 1 | Kg</v>
      </c>
      <c r="C153" t="str">
        <f>_xlfn.XLOOKUP(B153,'Produtos &amp; Marcas'!B:B,'Produtos &amp; Marcas'!C:C)</f>
        <v>Feijão</v>
      </c>
      <c r="D153" t="str">
        <f>_xlfn.XLOOKUP(B153,'Produtos &amp; Marcas'!B:B,'Produtos &amp; Marcas'!D:D)</f>
        <v>Kg</v>
      </c>
      <c r="E153" s="3">
        <f>_xlfn.XLOOKUP(B153,'Produtos &amp; Marcas'!B:B,'Produtos &amp; Marcas'!E:E)</f>
        <v>1</v>
      </c>
      <c r="F153" s="8">
        <f t="shared" si="4"/>
        <v>7.5</v>
      </c>
      <c r="G153" t="str">
        <f>_xlfn.XLOOKUP(B153,'Produtos &amp; Marcas'!B:B,'Produtos &amp; Marcas'!F:F)</f>
        <v>Broto Legal</v>
      </c>
      <c r="H153" t="s">
        <v>29</v>
      </c>
      <c r="I153">
        <f>_xlfn.XLOOKUP(H153,'Base Mercado'!C:C,'Base Mercado'!A:A)</f>
        <v>5</v>
      </c>
      <c r="J153" s="8">
        <v>7.5</v>
      </c>
      <c r="L153" s="8">
        <f t="shared" si="5"/>
        <v>7.5</v>
      </c>
      <c r="M153" s="13"/>
    </row>
    <row r="154" spans="1:13" x14ac:dyDescent="0.3">
      <c r="A154" s="3">
        <v>24</v>
      </c>
      <c r="B154" t="str">
        <f>_xlfn.XLOOKUP(A154,'Produtos &amp; Marcas'!A:A,'Produtos &amp; Marcas'!B:B)</f>
        <v>Feijão | Broto Legal | 1 | Kg</v>
      </c>
      <c r="C154" t="str">
        <f>_xlfn.XLOOKUP(B154,'Produtos &amp; Marcas'!B:B,'Produtos &amp; Marcas'!C:C)</f>
        <v>Feijão</v>
      </c>
      <c r="D154" t="str">
        <f>_xlfn.XLOOKUP(B154,'Produtos &amp; Marcas'!B:B,'Produtos &amp; Marcas'!D:D)</f>
        <v>Kg</v>
      </c>
      <c r="E154" s="3">
        <f>_xlfn.XLOOKUP(B154,'Produtos &amp; Marcas'!B:B,'Produtos &amp; Marcas'!E:E)</f>
        <v>1</v>
      </c>
      <c r="F154" s="8">
        <f t="shared" si="4"/>
        <v>7.5</v>
      </c>
      <c r="G154" t="str">
        <f>_xlfn.XLOOKUP(B154,'Produtos &amp; Marcas'!B:B,'Produtos &amp; Marcas'!F:F)</f>
        <v>Broto Legal</v>
      </c>
      <c r="H154" t="s">
        <v>30</v>
      </c>
      <c r="I154">
        <f>_xlfn.XLOOKUP(H154,'Base Mercado'!C:C,'Base Mercado'!A:A)</f>
        <v>6</v>
      </c>
      <c r="J154" s="8">
        <v>7.5</v>
      </c>
      <c r="L154" s="8">
        <f t="shared" si="5"/>
        <v>7.5</v>
      </c>
      <c r="M154" s="13"/>
    </row>
    <row r="155" spans="1:13" x14ac:dyDescent="0.3">
      <c r="A155" s="3">
        <v>24</v>
      </c>
      <c r="B155" t="str">
        <f>_xlfn.XLOOKUP(A155,'Produtos &amp; Marcas'!A:A,'Produtos &amp; Marcas'!B:B)</f>
        <v>Feijão | Broto Legal | 1 | Kg</v>
      </c>
      <c r="C155" t="str">
        <f>_xlfn.XLOOKUP(B155,'Produtos &amp; Marcas'!B:B,'Produtos &amp; Marcas'!C:C)</f>
        <v>Feijão</v>
      </c>
      <c r="D155" t="str">
        <f>_xlfn.XLOOKUP(B155,'Produtos &amp; Marcas'!B:B,'Produtos &amp; Marcas'!D:D)</f>
        <v>Kg</v>
      </c>
      <c r="E155" s="3">
        <f>_xlfn.XLOOKUP(B155,'Produtos &amp; Marcas'!B:B,'Produtos &amp; Marcas'!E:E)</f>
        <v>1</v>
      </c>
      <c r="F155" s="8">
        <f t="shared" si="4"/>
        <v>4.5</v>
      </c>
      <c r="G155" t="str">
        <f>_xlfn.XLOOKUP(B155,'Produtos &amp; Marcas'!B:B,'Produtos &amp; Marcas'!F:F)</f>
        <v>Broto Legal</v>
      </c>
      <c r="H155" t="s">
        <v>31</v>
      </c>
      <c r="I155">
        <f>_xlfn.XLOOKUP(H155,'Base Mercado'!C:C,'Base Mercado'!A:A)</f>
        <v>7</v>
      </c>
      <c r="J155" s="8">
        <v>4.5</v>
      </c>
      <c r="L155" s="8">
        <f t="shared" si="5"/>
        <v>4.5</v>
      </c>
      <c r="M155" s="13"/>
    </row>
    <row r="156" spans="1:13" x14ac:dyDescent="0.3">
      <c r="A156" s="3">
        <v>22</v>
      </c>
      <c r="B156" t="str">
        <f>_xlfn.XLOOKUP(A156,'Produtos &amp; Marcas'!A:A,'Produtos &amp; Marcas'!B:B)</f>
        <v>Feijão | Kicaldo | 1 | Kg</v>
      </c>
      <c r="C156" t="str">
        <f>_xlfn.XLOOKUP(B156,'Produtos &amp; Marcas'!B:B,'Produtos &amp; Marcas'!C:C)</f>
        <v>Feijão</v>
      </c>
      <c r="D156" t="str">
        <f>_xlfn.XLOOKUP(B156,'Produtos &amp; Marcas'!B:B,'Produtos &amp; Marcas'!D:D)</f>
        <v>Kg</v>
      </c>
      <c r="E156" s="3">
        <f>_xlfn.XLOOKUP(B156,'Produtos &amp; Marcas'!B:B,'Produtos &amp; Marcas'!E:E)</f>
        <v>1</v>
      </c>
      <c r="F156" s="8">
        <f t="shared" si="4"/>
        <v>6.29</v>
      </c>
      <c r="G156" t="str">
        <f>_xlfn.XLOOKUP(B156,'Produtos &amp; Marcas'!B:B,'Produtos &amp; Marcas'!F:F)</f>
        <v>Kicaldo</v>
      </c>
      <c r="H156" t="s">
        <v>25</v>
      </c>
      <c r="I156">
        <f>_xlfn.XLOOKUP(H156,'Base Mercado'!C:C,'Base Mercado'!A:A)</f>
        <v>1</v>
      </c>
      <c r="J156" s="8">
        <v>6.29</v>
      </c>
      <c r="L156" s="8">
        <f t="shared" si="5"/>
        <v>6.29</v>
      </c>
      <c r="M156" s="13"/>
    </row>
    <row r="157" spans="1:13" x14ac:dyDescent="0.3">
      <c r="A157" s="3">
        <v>22</v>
      </c>
      <c r="B157" t="str">
        <f>_xlfn.XLOOKUP(A157,'Produtos &amp; Marcas'!A:A,'Produtos &amp; Marcas'!B:B)</f>
        <v>Feijão | Kicaldo | 1 | Kg</v>
      </c>
      <c r="C157" t="str">
        <f>_xlfn.XLOOKUP(B157,'Produtos &amp; Marcas'!B:B,'Produtos &amp; Marcas'!C:C)</f>
        <v>Feijão</v>
      </c>
      <c r="D157" t="str">
        <f>_xlfn.XLOOKUP(B157,'Produtos &amp; Marcas'!B:B,'Produtos &amp; Marcas'!D:D)</f>
        <v>Kg</v>
      </c>
      <c r="E157" s="3">
        <f>_xlfn.XLOOKUP(B157,'Produtos &amp; Marcas'!B:B,'Produtos &amp; Marcas'!E:E)</f>
        <v>1</v>
      </c>
      <c r="F157" s="8">
        <f t="shared" si="4"/>
        <v>7.29</v>
      </c>
      <c r="G157" t="str">
        <f>_xlfn.XLOOKUP(B157,'Produtos &amp; Marcas'!B:B,'Produtos &amp; Marcas'!F:F)</f>
        <v>Kicaldo</v>
      </c>
      <c r="H157" t="s">
        <v>27</v>
      </c>
      <c r="I157">
        <f>_xlfn.XLOOKUP(H157,'Base Mercado'!C:C,'Base Mercado'!A:A)</f>
        <v>2</v>
      </c>
      <c r="J157" s="8">
        <v>7.29</v>
      </c>
      <c r="L157" s="8">
        <f t="shared" si="5"/>
        <v>7.29</v>
      </c>
      <c r="M157" s="13"/>
    </row>
    <row r="158" spans="1:13" x14ac:dyDescent="0.3">
      <c r="A158" s="3">
        <v>22</v>
      </c>
      <c r="B158" t="str">
        <f>_xlfn.XLOOKUP(A158,'Produtos &amp; Marcas'!A:A,'Produtos &amp; Marcas'!B:B)</f>
        <v>Feijão | Kicaldo | 1 | Kg</v>
      </c>
      <c r="C158" t="str">
        <f>_xlfn.XLOOKUP(B158,'Produtos &amp; Marcas'!B:B,'Produtos &amp; Marcas'!C:C)</f>
        <v>Feijão</v>
      </c>
      <c r="D158" t="str">
        <f>_xlfn.XLOOKUP(B158,'Produtos &amp; Marcas'!B:B,'Produtos &amp; Marcas'!D:D)</f>
        <v>Kg</v>
      </c>
      <c r="E158" s="3">
        <f>_xlfn.XLOOKUP(B158,'Produtos &amp; Marcas'!B:B,'Produtos &amp; Marcas'!E:E)</f>
        <v>1</v>
      </c>
      <c r="F158" s="8">
        <f t="shared" si="4"/>
        <v>5.29</v>
      </c>
      <c r="G158" t="str">
        <f>_xlfn.XLOOKUP(B158,'Produtos &amp; Marcas'!B:B,'Produtos &amp; Marcas'!F:F)</f>
        <v>Kicaldo</v>
      </c>
      <c r="H158" t="s">
        <v>26</v>
      </c>
      <c r="I158">
        <f>_xlfn.XLOOKUP(H158,'Base Mercado'!C:C,'Base Mercado'!A:A)</f>
        <v>3</v>
      </c>
      <c r="J158" s="8">
        <v>5.29</v>
      </c>
      <c r="L158" s="8">
        <f t="shared" si="5"/>
        <v>5.29</v>
      </c>
      <c r="M158" s="13"/>
    </row>
    <row r="159" spans="1:13" x14ac:dyDescent="0.3">
      <c r="A159" s="3">
        <v>22</v>
      </c>
      <c r="B159" t="str">
        <f>_xlfn.XLOOKUP(A159,'Produtos &amp; Marcas'!A:A,'Produtos &amp; Marcas'!B:B)</f>
        <v>Feijão | Kicaldo | 1 | Kg</v>
      </c>
      <c r="C159" t="str">
        <f>_xlfn.XLOOKUP(B159,'Produtos &amp; Marcas'!B:B,'Produtos &amp; Marcas'!C:C)</f>
        <v>Feijão</v>
      </c>
      <c r="D159" t="str">
        <f>_xlfn.XLOOKUP(B159,'Produtos &amp; Marcas'!B:B,'Produtos &amp; Marcas'!D:D)</f>
        <v>Kg</v>
      </c>
      <c r="E159" s="3">
        <f>_xlfn.XLOOKUP(B159,'Produtos &amp; Marcas'!B:B,'Produtos &amp; Marcas'!E:E)</f>
        <v>1</v>
      </c>
      <c r="F159" s="8">
        <f t="shared" si="4"/>
        <v>6.29</v>
      </c>
      <c r="G159" t="str">
        <f>_xlfn.XLOOKUP(B159,'Produtos &amp; Marcas'!B:B,'Produtos &amp; Marcas'!F:F)</f>
        <v>Kicaldo</v>
      </c>
      <c r="H159" t="s">
        <v>28</v>
      </c>
      <c r="I159">
        <f>_xlfn.XLOOKUP(H159,'Base Mercado'!C:C,'Base Mercado'!A:A)</f>
        <v>4</v>
      </c>
      <c r="J159" s="8">
        <v>6.29</v>
      </c>
      <c r="L159" s="8">
        <f t="shared" si="5"/>
        <v>6.29</v>
      </c>
      <c r="M159" s="13"/>
    </row>
    <row r="160" spans="1:13" x14ac:dyDescent="0.3">
      <c r="A160" s="3">
        <v>22</v>
      </c>
      <c r="B160" t="str">
        <f>_xlfn.XLOOKUP(A160,'Produtos &amp; Marcas'!A:A,'Produtos &amp; Marcas'!B:B)</f>
        <v>Feijão | Kicaldo | 1 | Kg</v>
      </c>
      <c r="C160" t="str">
        <f>_xlfn.XLOOKUP(B160,'Produtos &amp; Marcas'!B:B,'Produtos &amp; Marcas'!C:C)</f>
        <v>Feijão</v>
      </c>
      <c r="D160" t="str">
        <f>_xlfn.XLOOKUP(B160,'Produtos &amp; Marcas'!B:B,'Produtos &amp; Marcas'!D:D)</f>
        <v>Kg</v>
      </c>
      <c r="E160" s="3">
        <f>_xlfn.XLOOKUP(B160,'Produtos &amp; Marcas'!B:B,'Produtos &amp; Marcas'!E:E)</f>
        <v>1</v>
      </c>
      <c r="F160" s="8">
        <f t="shared" si="4"/>
        <v>8.2899999999999991</v>
      </c>
      <c r="G160" t="str">
        <f>_xlfn.XLOOKUP(B160,'Produtos &amp; Marcas'!B:B,'Produtos &amp; Marcas'!F:F)</f>
        <v>Kicaldo</v>
      </c>
      <c r="H160" t="s">
        <v>29</v>
      </c>
      <c r="I160">
        <f>_xlfn.XLOOKUP(H160,'Base Mercado'!C:C,'Base Mercado'!A:A)</f>
        <v>5</v>
      </c>
      <c r="J160" s="8">
        <v>8.2899999999999991</v>
      </c>
      <c r="L160" s="8">
        <f t="shared" si="5"/>
        <v>8.2899999999999991</v>
      </c>
      <c r="M160" s="13"/>
    </row>
    <row r="161" spans="1:13" x14ac:dyDescent="0.3">
      <c r="A161" s="3">
        <v>22</v>
      </c>
      <c r="B161" t="str">
        <f>_xlfn.XLOOKUP(A161,'Produtos &amp; Marcas'!A:A,'Produtos &amp; Marcas'!B:B)</f>
        <v>Feijão | Kicaldo | 1 | Kg</v>
      </c>
      <c r="C161" t="str">
        <f>_xlfn.XLOOKUP(B161,'Produtos &amp; Marcas'!B:B,'Produtos &amp; Marcas'!C:C)</f>
        <v>Feijão</v>
      </c>
      <c r="D161" t="str">
        <f>_xlfn.XLOOKUP(B161,'Produtos &amp; Marcas'!B:B,'Produtos &amp; Marcas'!D:D)</f>
        <v>Kg</v>
      </c>
      <c r="E161" s="3">
        <f>_xlfn.XLOOKUP(B161,'Produtos &amp; Marcas'!B:B,'Produtos &amp; Marcas'!E:E)</f>
        <v>1</v>
      </c>
      <c r="F161" s="8">
        <f t="shared" si="4"/>
        <v>8.2899999999999991</v>
      </c>
      <c r="G161" t="str">
        <f>_xlfn.XLOOKUP(B161,'Produtos &amp; Marcas'!B:B,'Produtos &amp; Marcas'!F:F)</f>
        <v>Kicaldo</v>
      </c>
      <c r="H161" t="s">
        <v>30</v>
      </c>
      <c r="I161">
        <f>_xlfn.XLOOKUP(H161,'Base Mercado'!C:C,'Base Mercado'!A:A)</f>
        <v>6</v>
      </c>
      <c r="J161" s="8">
        <v>8.2899999999999991</v>
      </c>
      <c r="K161" s="8">
        <v>8.1599999999999984</v>
      </c>
      <c r="L161" s="8">
        <f t="shared" si="5"/>
        <v>8.1599999999999984</v>
      </c>
      <c r="M161" s="13"/>
    </row>
    <row r="162" spans="1:13" x14ac:dyDescent="0.3">
      <c r="A162" s="3">
        <v>22</v>
      </c>
      <c r="B162" t="str">
        <f>_xlfn.XLOOKUP(A162,'Produtos &amp; Marcas'!A:A,'Produtos &amp; Marcas'!B:B)</f>
        <v>Feijão | Kicaldo | 1 | Kg</v>
      </c>
      <c r="C162" t="str">
        <f>_xlfn.XLOOKUP(B162,'Produtos &amp; Marcas'!B:B,'Produtos &amp; Marcas'!C:C)</f>
        <v>Feijão</v>
      </c>
      <c r="D162" t="str">
        <f>_xlfn.XLOOKUP(B162,'Produtos &amp; Marcas'!B:B,'Produtos &amp; Marcas'!D:D)</f>
        <v>Kg</v>
      </c>
      <c r="E162" s="3">
        <f>_xlfn.XLOOKUP(B162,'Produtos &amp; Marcas'!B:B,'Produtos &amp; Marcas'!E:E)</f>
        <v>1</v>
      </c>
      <c r="F162" s="8">
        <f t="shared" si="4"/>
        <v>8.2899999999999991</v>
      </c>
      <c r="G162" t="str">
        <f>_xlfn.XLOOKUP(B162,'Produtos &amp; Marcas'!B:B,'Produtos &amp; Marcas'!F:F)</f>
        <v>Kicaldo</v>
      </c>
      <c r="H162" t="s">
        <v>31</v>
      </c>
      <c r="I162">
        <f>_xlfn.XLOOKUP(H162,'Base Mercado'!C:C,'Base Mercado'!A:A)</f>
        <v>7</v>
      </c>
      <c r="J162" s="8">
        <v>8.2899999999999991</v>
      </c>
      <c r="K162" s="8">
        <v>8.1599999999999984</v>
      </c>
      <c r="L162" s="8">
        <f t="shared" si="5"/>
        <v>8.1599999999999984</v>
      </c>
      <c r="M162" s="13"/>
    </row>
    <row r="163" spans="1:13" x14ac:dyDescent="0.3">
      <c r="A163" s="3">
        <v>23</v>
      </c>
      <c r="B163" t="str">
        <f>_xlfn.XLOOKUP(A163,'Produtos &amp; Marcas'!A:A,'Produtos &amp; Marcas'!B:B)</f>
        <v>Feijão | Camil | 1 | Kg</v>
      </c>
      <c r="C163" t="str">
        <f>_xlfn.XLOOKUP(B163,'Produtos &amp; Marcas'!B:B,'Produtos &amp; Marcas'!C:C)</f>
        <v>Feijão</v>
      </c>
      <c r="D163" t="str">
        <f>_xlfn.XLOOKUP(B163,'Produtos &amp; Marcas'!B:B,'Produtos &amp; Marcas'!D:D)</f>
        <v>Kg</v>
      </c>
      <c r="E163" s="3">
        <f>_xlfn.XLOOKUP(B163,'Produtos &amp; Marcas'!B:B,'Produtos &amp; Marcas'!E:E)</f>
        <v>1</v>
      </c>
      <c r="F163" s="8">
        <f t="shared" si="4"/>
        <v>5.29</v>
      </c>
      <c r="G163" t="str">
        <f>_xlfn.XLOOKUP(B163,'Produtos &amp; Marcas'!B:B,'Produtos &amp; Marcas'!F:F)</f>
        <v>Camil</v>
      </c>
      <c r="H163" t="s">
        <v>25</v>
      </c>
      <c r="I163">
        <f>_xlfn.XLOOKUP(H163,'Base Mercado'!C:C,'Base Mercado'!A:A)</f>
        <v>1</v>
      </c>
      <c r="J163" s="8">
        <v>5.29</v>
      </c>
      <c r="K163" s="8">
        <v>5.16</v>
      </c>
      <c r="L163" s="8">
        <f t="shared" si="5"/>
        <v>5.16</v>
      </c>
      <c r="M163" s="13"/>
    </row>
    <row r="164" spans="1:13" x14ac:dyDescent="0.3">
      <c r="A164" s="3">
        <v>23</v>
      </c>
      <c r="B164" t="str">
        <f>_xlfn.XLOOKUP(A164,'Produtos &amp; Marcas'!A:A,'Produtos &amp; Marcas'!B:B)</f>
        <v>Feijão | Camil | 1 | Kg</v>
      </c>
      <c r="C164" t="str">
        <f>_xlfn.XLOOKUP(B164,'Produtos &amp; Marcas'!B:B,'Produtos &amp; Marcas'!C:C)</f>
        <v>Feijão</v>
      </c>
      <c r="D164" t="str">
        <f>_xlfn.XLOOKUP(B164,'Produtos &amp; Marcas'!B:B,'Produtos &amp; Marcas'!D:D)</f>
        <v>Kg</v>
      </c>
      <c r="E164" s="3">
        <f>_xlfn.XLOOKUP(B164,'Produtos &amp; Marcas'!B:B,'Produtos &amp; Marcas'!E:E)</f>
        <v>1</v>
      </c>
      <c r="F164" s="8">
        <f t="shared" si="4"/>
        <v>7.29</v>
      </c>
      <c r="G164" t="str">
        <f>_xlfn.XLOOKUP(B164,'Produtos &amp; Marcas'!B:B,'Produtos &amp; Marcas'!F:F)</f>
        <v>Camil</v>
      </c>
      <c r="H164" t="s">
        <v>27</v>
      </c>
      <c r="I164">
        <f>_xlfn.XLOOKUP(H164,'Base Mercado'!C:C,'Base Mercado'!A:A)</f>
        <v>2</v>
      </c>
      <c r="J164" s="8">
        <v>7.29</v>
      </c>
      <c r="K164" s="8">
        <v>7.16</v>
      </c>
      <c r="L164" s="8">
        <f t="shared" si="5"/>
        <v>7.16</v>
      </c>
      <c r="M164" s="13"/>
    </row>
    <row r="165" spans="1:13" x14ac:dyDescent="0.3">
      <c r="A165" s="3">
        <v>23</v>
      </c>
      <c r="B165" t="str">
        <f>_xlfn.XLOOKUP(A165,'Produtos &amp; Marcas'!A:A,'Produtos &amp; Marcas'!B:B)</f>
        <v>Feijão | Camil | 1 | Kg</v>
      </c>
      <c r="C165" t="str">
        <f>_xlfn.XLOOKUP(B165,'Produtos &amp; Marcas'!B:B,'Produtos &amp; Marcas'!C:C)</f>
        <v>Feijão</v>
      </c>
      <c r="D165" t="str">
        <f>_xlfn.XLOOKUP(B165,'Produtos &amp; Marcas'!B:B,'Produtos &amp; Marcas'!D:D)</f>
        <v>Kg</v>
      </c>
      <c r="E165" s="3">
        <f>_xlfn.XLOOKUP(B165,'Produtos &amp; Marcas'!B:B,'Produtos &amp; Marcas'!E:E)</f>
        <v>1</v>
      </c>
      <c r="F165" s="8">
        <f t="shared" si="4"/>
        <v>7.29</v>
      </c>
      <c r="G165" t="str">
        <f>_xlfn.XLOOKUP(B165,'Produtos &amp; Marcas'!B:B,'Produtos &amp; Marcas'!F:F)</f>
        <v>Camil</v>
      </c>
      <c r="H165" t="s">
        <v>26</v>
      </c>
      <c r="I165">
        <f>_xlfn.XLOOKUP(H165,'Base Mercado'!C:C,'Base Mercado'!A:A)</f>
        <v>3</v>
      </c>
      <c r="J165" s="8">
        <v>7.29</v>
      </c>
      <c r="K165" s="8">
        <v>7.16</v>
      </c>
      <c r="L165" s="8">
        <f t="shared" si="5"/>
        <v>7.16</v>
      </c>
      <c r="M165" s="13"/>
    </row>
    <row r="166" spans="1:13" x14ac:dyDescent="0.3">
      <c r="A166" s="3">
        <v>23</v>
      </c>
      <c r="B166" t="str">
        <f>_xlfn.XLOOKUP(A166,'Produtos &amp; Marcas'!A:A,'Produtos &amp; Marcas'!B:B)</f>
        <v>Feijão | Camil | 1 | Kg</v>
      </c>
      <c r="C166" t="str">
        <f>_xlfn.XLOOKUP(B166,'Produtos &amp; Marcas'!B:B,'Produtos &amp; Marcas'!C:C)</f>
        <v>Feijão</v>
      </c>
      <c r="D166" t="str">
        <f>_xlfn.XLOOKUP(B166,'Produtos &amp; Marcas'!B:B,'Produtos &amp; Marcas'!D:D)</f>
        <v>Kg</v>
      </c>
      <c r="E166" s="3">
        <f>_xlfn.XLOOKUP(B166,'Produtos &amp; Marcas'!B:B,'Produtos &amp; Marcas'!E:E)</f>
        <v>1</v>
      </c>
      <c r="F166" s="8">
        <f t="shared" si="4"/>
        <v>7.29</v>
      </c>
      <c r="G166" t="str">
        <f>_xlfn.XLOOKUP(B166,'Produtos &amp; Marcas'!B:B,'Produtos &amp; Marcas'!F:F)</f>
        <v>Camil</v>
      </c>
      <c r="H166" t="s">
        <v>28</v>
      </c>
      <c r="I166">
        <f>_xlfn.XLOOKUP(H166,'Base Mercado'!C:C,'Base Mercado'!A:A)</f>
        <v>4</v>
      </c>
      <c r="J166" s="8">
        <v>7.29</v>
      </c>
      <c r="K166" s="8">
        <v>7.16</v>
      </c>
      <c r="L166" s="8">
        <f t="shared" si="5"/>
        <v>7.16</v>
      </c>
      <c r="M166" s="13"/>
    </row>
    <row r="167" spans="1:13" x14ac:dyDescent="0.3">
      <c r="A167" s="3">
        <v>23</v>
      </c>
      <c r="B167" t="str">
        <f>_xlfn.XLOOKUP(A167,'Produtos &amp; Marcas'!A:A,'Produtos &amp; Marcas'!B:B)</f>
        <v>Feijão | Camil | 1 | Kg</v>
      </c>
      <c r="C167" t="str">
        <f>_xlfn.XLOOKUP(B167,'Produtos &amp; Marcas'!B:B,'Produtos &amp; Marcas'!C:C)</f>
        <v>Feijão</v>
      </c>
      <c r="D167" t="str">
        <f>_xlfn.XLOOKUP(B167,'Produtos &amp; Marcas'!B:B,'Produtos &amp; Marcas'!D:D)</f>
        <v>Kg</v>
      </c>
      <c r="E167" s="3">
        <f>_xlfn.XLOOKUP(B167,'Produtos &amp; Marcas'!B:B,'Produtos &amp; Marcas'!E:E)</f>
        <v>1</v>
      </c>
      <c r="F167" s="8">
        <f t="shared" si="4"/>
        <v>4.29</v>
      </c>
      <c r="G167" t="str">
        <f>_xlfn.XLOOKUP(B167,'Produtos &amp; Marcas'!B:B,'Produtos &amp; Marcas'!F:F)</f>
        <v>Camil</v>
      </c>
      <c r="H167" t="s">
        <v>29</v>
      </c>
      <c r="I167">
        <f>_xlfn.XLOOKUP(H167,'Base Mercado'!C:C,'Base Mercado'!A:A)</f>
        <v>5</v>
      </c>
      <c r="J167" s="8">
        <v>4.29</v>
      </c>
      <c r="K167" s="8">
        <v>4.16</v>
      </c>
      <c r="L167" s="8">
        <f t="shared" si="5"/>
        <v>4.16</v>
      </c>
      <c r="M167" s="13"/>
    </row>
    <row r="168" spans="1:13" x14ac:dyDescent="0.3">
      <c r="A168" s="3">
        <v>23</v>
      </c>
      <c r="B168" t="str">
        <f>_xlfn.XLOOKUP(A168,'Produtos &amp; Marcas'!A:A,'Produtos &amp; Marcas'!B:B)</f>
        <v>Feijão | Camil | 1 | Kg</v>
      </c>
      <c r="C168" t="str">
        <f>_xlfn.XLOOKUP(B168,'Produtos &amp; Marcas'!B:B,'Produtos &amp; Marcas'!C:C)</f>
        <v>Feijão</v>
      </c>
      <c r="D168" t="str">
        <f>_xlfn.XLOOKUP(B168,'Produtos &amp; Marcas'!B:B,'Produtos &amp; Marcas'!D:D)</f>
        <v>Kg</v>
      </c>
      <c r="E168" s="3">
        <f>_xlfn.XLOOKUP(B168,'Produtos &amp; Marcas'!B:B,'Produtos &amp; Marcas'!E:E)</f>
        <v>1</v>
      </c>
      <c r="F168" s="8">
        <f t="shared" si="4"/>
        <v>6.29</v>
      </c>
      <c r="G168" t="str">
        <f>_xlfn.XLOOKUP(B168,'Produtos &amp; Marcas'!B:B,'Produtos &amp; Marcas'!F:F)</f>
        <v>Camil</v>
      </c>
      <c r="H168" t="s">
        <v>30</v>
      </c>
      <c r="I168">
        <f>_xlfn.XLOOKUP(H168,'Base Mercado'!C:C,'Base Mercado'!A:A)</f>
        <v>6</v>
      </c>
      <c r="J168" s="8">
        <v>6.29</v>
      </c>
      <c r="L168" s="8">
        <f t="shared" si="5"/>
        <v>6.29</v>
      </c>
      <c r="M168" s="13"/>
    </row>
    <row r="169" spans="1:13" x14ac:dyDescent="0.3">
      <c r="A169" s="3">
        <v>23</v>
      </c>
      <c r="B169" t="str">
        <f>_xlfn.XLOOKUP(A169,'Produtos &amp; Marcas'!A:A,'Produtos &amp; Marcas'!B:B)</f>
        <v>Feijão | Camil | 1 | Kg</v>
      </c>
      <c r="C169" t="str">
        <f>_xlfn.XLOOKUP(B169,'Produtos &amp; Marcas'!B:B,'Produtos &amp; Marcas'!C:C)</f>
        <v>Feijão</v>
      </c>
      <c r="D169" t="str">
        <f>_xlfn.XLOOKUP(B169,'Produtos &amp; Marcas'!B:B,'Produtos &amp; Marcas'!D:D)</f>
        <v>Kg</v>
      </c>
      <c r="E169" s="3">
        <f>_xlfn.XLOOKUP(B169,'Produtos &amp; Marcas'!B:B,'Produtos &amp; Marcas'!E:E)</f>
        <v>1</v>
      </c>
      <c r="F169" s="8">
        <f t="shared" si="4"/>
        <v>7.29</v>
      </c>
      <c r="G169" t="str">
        <f>_xlfn.XLOOKUP(B169,'Produtos &amp; Marcas'!B:B,'Produtos &amp; Marcas'!F:F)</f>
        <v>Camil</v>
      </c>
      <c r="H169" t="s">
        <v>31</v>
      </c>
      <c r="I169">
        <f>_xlfn.XLOOKUP(H169,'Base Mercado'!C:C,'Base Mercado'!A:A)</f>
        <v>7</v>
      </c>
      <c r="J169" s="8">
        <v>7.29</v>
      </c>
      <c r="L169" s="8">
        <f t="shared" si="5"/>
        <v>7.29</v>
      </c>
      <c r="M169" s="13"/>
    </row>
    <row r="170" spans="1:13" x14ac:dyDescent="0.3">
      <c r="A170" s="3">
        <v>25</v>
      </c>
      <c r="B170" t="str">
        <f>_xlfn.XLOOKUP(A170,'Produtos &amp; Marcas'!A:A,'Produtos &amp; Marcas'!B:B)</f>
        <v>Leite | Italac | 1 | Unidade</v>
      </c>
      <c r="C170" t="str">
        <f>_xlfn.XLOOKUP(B170,'Produtos &amp; Marcas'!B:B,'Produtos &amp; Marcas'!C:C)</f>
        <v>Leite</v>
      </c>
      <c r="D170" t="str">
        <f>_xlfn.XLOOKUP(B170,'Produtos &amp; Marcas'!B:B,'Produtos &amp; Marcas'!D:D)</f>
        <v>Unidade</v>
      </c>
      <c r="E170" s="3">
        <f>_xlfn.XLOOKUP(B170,'Produtos &amp; Marcas'!B:B,'Produtos &amp; Marcas'!E:E)</f>
        <v>1</v>
      </c>
      <c r="F170" s="8">
        <f t="shared" si="4"/>
        <v>4.9800000000000004</v>
      </c>
      <c r="G170" t="str">
        <f>_xlfn.XLOOKUP(B170,'Produtos &amp; Marcas'!B:B,'Produtos &amp; Marcas'!F:F)</f>
        <v>Italac</v>
      </c>
      <c r="H170" t="s">
        <v>25</v>
      </c>
      <c r="I170">
        <f>_xlfn.XLOOKUP(H170,'Base Mercado'!C:C,'Base Mercado'!A:A)</f>
        <v>1</v>
      </c>
      <c r="J170" s="8">
        <v>4.9800000000000004</v>
      </c>
      <c r="L170" s="8">
        <f t="shared" si="5"/>
        <v>4.9800000000000004</v>
      </c>
      <c r="M170" s="13"/>
    </row>
    <row r="171" spans="1:13" x14ac:dyDescent="0.3">
      <c r="A171" s="3">
        <v>25</v>
      </c>
      <c r="B171" t="str">
        <f>_xlfn.XLOOKUP(A171,'Produtos &amp; Marcas'!A:A,'Produtos &amp; Marcas'!B:B)</f>
        <v>Leite | Italac | 1 | Unidade</v>
      </c>
      <c r="C171" t="str">
        <f>_xlfn.XLOOKUP(B171,'Produtos &amp; Marcas'!B:B,'Produtos &amp; Marcas'!C:C)</f>
        <v>Leite</v>
      </c>
      <c r="D171" t="str">
        <f>_xlfn.XLOOKUP(B171,'Produtos &amp; Marcas'!B:B,'Produtos &amp; Marcas'!D:D)</f>
        <v>Unidade</v>
      </c>
      <c r="E171" s="3">
        <f>_xlfn.XLOOKUP(B171,'Produtos &amp; Marcas'!B:B,'Produtos &amp; Marcas'!E:E)</f>
        <v>1</v>
      </c>
      <c r="F171" s="8">
        <f t="shared" si="4"/>
        <v>3.9800000000000004</v>
      </c>
      <c r="G171" t="str">
        <f>_xlfn.XLOOKUP(B171,'Produtos &amp; Marcas'!B:B,'Produtos &amp; Marcas'!F:F)</f>
        <v>Italac</v>
      </c>
      <c r="H171" t="s">
        <v>27</v>
      </c>
      <c r="I171">
        <f>_xlfn.XLOOKUP(H171,'Base Mercado'!C:C,'Base Mercado'!A:A)</f>
        <v>2</v>
      </c>
      <c r="J171" s="8">
        <v>3.9800000000000004</v>
      </c>
      <c r="L171" s="8">
        <f t="shared" si="5"/>
        <v>3.9800000000000004</v>
      </c>
      <c r="M171" s="13"/>
    </row>
    <row r="172" spans="1:13" x14ac:dyDescent="0.3">
      <c r="A172" s="3">
        <v>25</v>
      </c>
      <c r="B172" t="str">
        <f>_xlfn.XLOOKUP(A172,'Produtos &amp; Marcas'!A:A,'Produtos &amp; Marcas'!B:B)</f>
        <v>Leite | Italac | 1 | Unidade</v>
      </c>
      <c r="C172" t="str">
        <f>_xlfn.XLOOKUP(B172,'Produtos &amp; Marcas'!B:B,'Produtos &amp; Marcas'!C:C)</f>
        <v>Leite</v>
      </c>
      <c r="D172" t="str">
        <f>_xlfn.XLOOKUP(B172,'Produtos &amp; Marcas'!B:B,'Produtos &amp; Marcas'!D:D)</f>
        <v>Unidade</v>
      </c>
      <c r="E172" s="3">
        <f>_xlfn.XLOOKUP(B172,'Produtos &amp; Marcas'!B:B,'Produtos &amp; Marcas'!E:E)</f>
        <v>1</v>
      </c>
      <c r="F172" s="8">
        <f t="shared" si="4"/>
        <v>6.98</v>
      </c>
      <c r="G172" t="str">
        <f>_xlfn.XLOOKUP(B172,'Produtos &amp; Marcas'!B:B,'Produtos &amp; Marcas'!F:F)</f>
        <v>Italac</v>
      </c>
      <c r="H172" t="s">
        <v>26</v>
      </c>
      <c r="I172">
        <f>_xlfn.XLOOKUP(H172,'Base Mercado'!C:C,'Base Mercado'!A:A)</f>
        <v>3</v>
      </c>
      <c r="J172" s="8">
        <v>6.98</v>
      </c>
      <c r="L172" s="8">
        <f t="shared" si="5"/>
        <v>6.98</v>
      </c>
      <c r="M172" s="13"/>
    </row>
    <row r="173" spans="1:13" x14ac:dyDescent="0.3">
      <c r="A173" s="3">
        <v>25</v>
      </c>
      <c r="B173" t="str">
        <f>_xlfn.XLOOKUP(A173,'Produtos &amp; Marcas'!A:A,'Produtos &amp; Marcas'!B:B)</f>
        <v>Leite | Italac | 1 | Unidade</v>
      </c>
      <c r="C173" t="str">
        <f>_xlfn.XLOOKUP(B173,'Produtos &amp; Marcas'!B:B,'Produtos &amp; Marcas'!C:C)</f>
        <v>Leite</v>
      </c>
      <c r="D173" t="str">
        <f>_xlfn.XLOOKUP(B173,'Produtos &amp; Marcas'!B:B,'Produtos &amp; Marcas'!D:D)</f>
        <v>Unidade</v>
      </c>
      <c r="E173" s="3">
        <f>_xlfn.XLOOKUP(B173,'Produtos &amp; Marcas'!B:B,'Produtos &amp; Marcas'!E:E)</f>
        <v>1</v>
      </c>
      <c r="F173" s="8">
        <f t="shared" si="4"/>
        <v>4.9800000000000004</v>
      </c>
      <c r="G173" t="str">
        <f>_xlfn.XLOOKUP(B173,'Produtos &amp; Marcas'!B:B,'Produtos &amp; Marcas'!F:F)</f>
        <v>Italac</v>
      </c>
      <c r="H173" t="s">
        <v>28</v>
      </c>
      <c r="I173">
        <f>_xlfn.XLOOKUP(H173,'Base Mercado'!C:C,'Base Mercado'!A:A)</f>
        <v>4</v>
      </c>
      <c r="J173" s="8">
        <v>4.9800000000000004</v>
      </c>
      <c r="L173" s="8">
        <f t="shared" si="5"/>
        <v>4.9800000000000004</v>
      </c>
      <c r="M173" s="13"/>
    </row>
    <row r="174" spans="1:13" x14ac:dyDescent="0.3">
      <c r="A174" s="3">
        <v>25</v>
      </c>
      <c r="B174" t="str">
        <f>_xlfn.XLOOKUP(A174,'Produtos &amp; Marcas'!A:A,'Produtos &amp; Marcas'!B:B)</f>
        <v>Leite | Italac | 1 | Unidade</v>
      </c>
      <c r="C174" t="str">
        <f>_xlfn.XLOOKUP(B174,'Produtos &amp; Marcas'!B:B,'Produtos &amp; Marcas'!C:C)</f>
        <v>Leite</v>
      </c>
      <c r="D174" t="str">
        <f>_xlfn.XLOOKUP(B174,'Produtos &amp; Marcas'!B:B,'Produtos &amp; Marcas'!D:D)</f>
        <v>Unidade</v>
      </c>
      <c r="E174" s="3">
        <f>_xlfn.XLOOKUP(B174,'Produtos &amp; Marcas'!B:B,'Produtos &amp; Marcas'!E:E)</f>
        <v>1</v>
      </c>
      <c r="F174" s="8">
        <f t="shared" si="4"/>
        <v>3.9800000000000004</v>
      </c>
      <c r="G174" t="str">
        <f>_xlfn.XLOOKUP(B174,'Produtos &amp; Marcas'!B:B,'Produtos &amp; Marcas'!F:F)</f>
        <v>Italac</v>
      </c>
      <c r="H174" t="s">
        <v>29</v>
      </c>
      <c r="I174">
        <f>_xlfn.XLOOKUP(H174,'Base Mercado'!C:C,'Base Mercado'!A:A)</f>
        <v>5</v>
      </c>
      <c r="J174" s="8">
        <v>3.9800000000000004</v>
      </c>
      <c r="K174" s="8">
        <v>3.8500000000000005</v>
      </c>
      <c r="L174" s="8">
        <f t="shared" si="5"/>
        <v>3.8500000000000005</v>
      </c>
      <c r="M174" s="13"/>
    </row>
    <row r="175" spans="1:13" x14ac:dyDescent="0.3">
      <c r="A175" s="3">
        <v>25</v>
      </c>
      <c r="B175" t="str">
        <f>_xlfn.XLOOKUP(A175,'Produtos &amp; Marcas'!A:A,'Produtos &amp; Marcas'!B:B)</f>
        <v>Leite | Italac | 1 | Unidade</v>
      </c>
      <c r="C175" t="str">
        <f>_xlfn.XLOOKUP(B175,'Produtos &amp; Marcas'!B:B,'Produtos &amp; Marcas'!C:C)</f>
        <v>Leite</v>
      </c>
      <c r="D175" t="str">
        <f>_xlfn.XLOOKUP(B175,'Produtos &amp; Marcas'!B:B,'Produtos &amp; Marcas'!D:D)</f>
        <v>Unidade</v>
      </c>
      <c r="E175" s="3">
        <f>_xlfn.XLOOKUP(B175,'Produtos &amp; Marcas'!B:B,'Produtos &amp; Marcas'!E:E)</f>
        <v>1</v>
      </c>
      <c r="F175" s="8">
        <f t="shared" si="4"/>
        <v>3.9800000000000004</v>
      </c>
      <c r="G175" t="str">
        <f>_xlfn.XLOOKUP(B175,'Produtos &amp; Marcas'!B:B,'Produtos &amp; Marcas'!F:F)</f>
        <v>Italac</v>
      </c>
      <c r="H175" t="s">
        <v>30</v>
      </c>
      <c r="I175">
        <f>_xlfn.XLOOKUP(H175,'Base Mercado'!C:C,'Base Mercado'!A:A)</f>
        <v>6</v>
      </c>
      <c r="J175" s="8">
        <v>3.9800000000000004</v>
      </c>
      <c r="K175" s="8">
        <v>3.8500000000000005</v>
      </c>
      <c r="L175" s="8">
        <f t="shared" si="5"/>
        <v>3.8500000000000005</v>
      </c>
      <c r="M175" s="13"/>
    </row>
    <row r="176" spans="1:13" x14ac:dyDescent="0.3">
      <c r="A176" s="3">
        <v>25</v>
      </c>
      <c r="B176" t="str">
        <f>_xlfn.XLOOKUP(A176,'Produtos &amp; Marcas'!A:A,'Produtos &amp; Marcas'!B:B)</f>
        <v>Leite | Italac | 1 | Unidade</v>
      </c>
      <c r="C176" t="str">
        <f>_xlfn.XLOOKUP(B176,'Produtos &amp; Marcas'!B:B,'Produtos &amp; Marcas'!C:C)</f>
        <v>Leite</v>
      </c>
      <c r="D176" t="str">
        <f>_xlfn.XLOOKUP(B176,'Produtos &amp; Marcas'!B:B,'Produtos &amp; Marcas'!D:D)</f>
        <v>Unidade</v>
      </c>
      <c r="E176" s="3">
        <f>_xlfn.XLOOKUP(B176,'Produtos &amp; Marcas'!B:B,'Produtos &amp; Marcas'!E:E)</f>
        <v>1</v>
      </c>
      <c r="F176" s="8">
        <f t="shared" si="4"/>
        <v>3.9800000000000004</v>
      </c>
      <c r="G176" t="str">
        <f>_xlfn.XLOOKUP(B176,'Produtos &amp; Marcas'!B:B,'Produtos &amp; Marcas'!F:F)</f>
        <v>Italac</v>
      </c>
      <c r="H176" t="s">
        <v>31</v>
      </c>
      <c r="I176">
        <f>_xlfn.XLOOKUP(H176,'Base Mercado'!C:C,'Base Mercado'!A:A)</f>
        <v>7</v>
      </c>
      <c r="J176" s="8">
        <v>3.9800000000000004</v>
      </c>
      <c r="K176" s="8">
        <v>3.8500000000000005</v>
      </c>
      <c r="L176" s="8">
        <f t="shared" si="5"/>
        <v>3.8500000000000005</v>
      </c>
      <c r="M176" s="13"/>
    </row>
    <row r="177" spans="1:13" x14ac:dyDescent="0.3">
      <c r="A177" s="3">
        <v>26</v>
      </c>
      <c r="B177" t="str">
        <f>_xlfn.XLOOKUP(A177,'Produtos &amp; Marcas'!A:A,'Produtos &amp; Marcas'!B:B)</f>
        <v>Leite | Nestlé Ninho | 1 | Unidade</v>
      </c>
      <c r="C177" t="str">
        <f>_xlfn.XLOOKUP(B177,'Produtos &amp; Marcas'!B:B,'Produtos &amp; Marcas'!C:C)</f>
        <v>Leite</v>
      </c>
      <c r="D177" t="str">
        <f>_xlfn.XLOOKUP(B177,'Produtos &amp; Marcas'!B:B,'Produtos &amp; Marcas'!D:D)</f>
        <v>Unidade</v>
      </c>
      <c r="E177" s="3">
        <f>_xlfn.XLOOKUP(B177,'Produtos &amp; Marcas'!B:B,'Produtos &amp; Marcas'!E:E)</f>
        <v>1</v>
      </c>
      <c r="F177" s="8">
        <f t="shared" si="4"/>
        <v>4.59</v>
      </c>
      <c r="G177" t="str">
        <f>_xlfn.XLOOKUP(B177,'Produtos &amp; Marcas'!B:B,'Produtos &amp; Marcas'!F:F)</f>
        <v>Nestlé Ninho</v>
      </c>
      <c r="H177" t="s">
        <v>25</v>
      </c>
      <c r="I177">
        <f>_xlfn.XLOOKUP(H177,'Base Mercado'!C:C,'Base Mercado'!A:A)</f>
        <v>1</v>
      </c>
      <c r="J177" s="8">
        <v>4.59</v>
      </c>
      <c r="K177" s="8">
        <v>4.4399999999999995</v>
      </c>
      <c r="L177" s="8">
        <f t="shared" si="5"/>
        <v>4.4399999999999995</v>
      </c>
      <c r="M177" s="13"/>
    </row>
    <row r="178" spans="1:13" x14ac:dyDescent="0.3">
      <c r="A178" s="3">
        <v>26</v>
      </c>
      <c r="B178" t="str">
        <f>_xlfn.XLOOKUP(A178,'Produtos &amp; Marcas'!A:A,'Produtos &amp; Marcas'!B:B)</f>
        <v>Leite | Nestlé Ninho | 1 | Unidade</v>
      </c>
      <c r="C178" t="str">
        <f>_xlfn.XLOOKUP(B178,'Produtos &amp; Marcas'!B:B,'Produtos &amp; Marcas'!C:C)</f>
        <v>Leite</v>
      </c>
      <c r="D178" t="str">
        <f>_xlfn.XLOOKUP(B178,'Produtos &amp; Marcas'!B:B,'Produtos &amp; Marcas'!D:D)</f>
        <v>Unidade</v>
      </c>
      <c r="E178" s="3">
        <f>_xlfn.XLOOKUP(B178,'Produtos &amp; Marcas'!B:B,'Produtos &amp; Marcas'!E:E)</f>
        <v>1</v>
      </c>
      <c r="F178" s="8">
        <f t="shared" si="4"/>
        <v>3.59</v>
      </c>
      <c r="G178" t="str">
        <f>_xlfn.XLOOKUP(B178,'Produtos &amp; Marcas'!B:B,'Produtos &amp; Marcas'!F:F)</f>
        <v>Nestlé Ninho</v>
      </c>
      <c r="H178" t="s">
        <v>27</v>
      </c>
      <c r="I178">
        <f>_xlfn.XLOOKUP(H178,'Base Mercado'!C:C,'Base Mercado'!A:A)</f>
        <v>2</v>
      </c>
      <c r="J178" s="8">
        <v>3.59</v>
      </c>
      <c r="K178" s="8">
        <v>3.44</v>
      </c>
      <c r="L178" s="8">
        <f t="shared" si="5"/>
        <v>3.44</v>
      </c>
      <c r="M178" s="13"/>
    </row>
    <row r="179" spans="1:13" x14ac:dyDescent="0.3">
      <c r="A179" s="3">
        <v>26</v>
      </c>
      <c r="B179" t="str">
        <f>_xlfn.XLOOKUP(A179,'Produtos &amp; Marcas'!A:A,'Produtos &amp; Marcas'!B:B)</f>
        <v>Leite | Nestlé Ninho | 1 | Unidade</v>
      </c>
      <c r="C179" t="str">
        <f>_xlfn.XLOOKUP(B179,'Produtos &amp; Marcas'!B:B,'Produtos &amp; Marcas'!C:C)</f>
        <v>Leite</v>
      </c>
      <c r="D179" t="str">
        <f>_xlfn.XLOOKUP(B179,'Produtos &amp; Marcas'!B:B,'Produtos &amp; Marcas'!D:D)</f>
        <v>Unidade</v>
      </c>
      <c r="E179" s="3">
        <f>_xlfn.XLOOKUP(B179,'Produtos &amp; Marcas'!B:B,'Produtos &amp; Marcas'!E:E)</f>
        <v>1</v>
      </c>
      <c r="F179" s="8">
        <f t="shared" si="4"/>
        <v>4.59</v>
      </c>
      <c r="G179" t="str">
        <f>_xlfn.XLOOKUP(B179,'Produtos &amp; Marcas'!B:B,'Produtos &amp; Marcas'!F:F)</f>
        <v>Nestlé Ninho</v>
      </c>
      <c r="H179" t="s">
        <v>26</v>
      </c>
      <c r="I179">
        <f>_xlfn.XLOOKUP(H179,'Base Mercado'!C:C,'Base Mercado'!A:A)</f>
        <v>3</v>
      </c>
      <c r="J179" s="8">
        <v>4.59</v>
      </c>
      <c r="K179" s="8">
        <v>4.4399999999999995</v>
      </c>
      <c r="L179" s="8">
        <f t="shared" si="5"/>
        <v>4.4399999999999995</v>
      </c>
      <c r="M179" s="13"/>
    </row>
    <row r="180" spans="1:13" x14ac:dyDescent="0.3">
      <c r="A180" s="3">
        <v>26</v>
      </c>
      <c r="B180" t="str">
        <f>_xlfn.XLOOKUP(A180,'Produtos &amp; Marcas'!A:A,'Produtos &amp; Marcas'!B:B)</f>
        <v>Leite | Nestlé Ninho | 1 | Unidade</v>
      </c>
      <c r="C180" t="str">
        <f>_xlfn.XLOOKUP(B180,'Produtos &amp; Marcas'!B:B,'Produtos &amp; Marcas'!C:C)</f>
        <v>Leite</v>
      </c>
      <c r="D180" t="str">
        <f>_xlfn.XLOOKUP(B180,'Produtos &amp; Marcas'!B:B,'Produtos &amp; Marcas'!D:D)</f>
        <v>Unidade</v>
      </c>
      <c r="E180" s="3">
        <f>_xlfn.XLOOKUP(B180,'Produtos &amp; Marcas'!B:B,'Produtos &amp; Marcas'!E:E)</f>
        <v>1</v>
      </c>
      <c r="F180" s="8">
        <f t="shared" si="4"/>
        <v>3.59</v>
      </c>
      <c r="G180" t="str">
        <f>_xlfn.XLOOKUP(B180,'Produtos &amp; Marcas'!B:B,'Produtos &amp; Marcas'!F:F)</f>
        <v>Nestlé Ninho</v>
      </c>
      <c r="H180" t="s">
        <v>28</v>
      </c>
      <c r="I180">
        <f>_xlfn.XLOOKUP(H180,'Base Mercado'!C:C,'Base Mercado'!A:A)</f>
        <v>4</v>
      </c>
      <c r="J180" s="8">
        <v>3.59</v>
      </c>
      <c r="K180" s="8">
        <v>3.44</v>
      </c>
      <c r="L180" s="8">
        <f t="shared" si="5"/>
        <v>3.44</v>
      </c>
      <c r="M180" s="13"/>
    </row>
    <row r="181" spans="1:13" x14ac:dyDescent="0.3">
      <c r="A181" s="3">
        <v>26</v>
      </c>
      <c r="B181" t="str">
        <f>_xlfn.XLOOKUP(A181,'Produtos &amp; Marcas'!A:A,'Produtos &amp; Marcas'!B:B)</f>
        <v>Leite | Nestlé Ninho | 1 | Unidade</v>
      </c>
      <c r="C181" t="str">
        <f>_xlfn.XLOOKUP(B181,'Produtos &amp; Marcas'!B:B,'Produtos &amp; Marcas'!C:C)</f>
        <v>Leite</v>
      </c>
      <c r="D181" t="str">
        <f>_xlfn.XLOOKUP(B181,'Produtos &amp; Marcas'!B:B,'Produtos &amp; Marcas'!D:D)</f>
        <v>Unidade</v>
      </c>
      <c r="E181" s="3">
        <f>_xlfn.XLOOKUP(B181,'Produtos &amp; Marcas'!B:B,'Produtos &amp; Marcas'!E:E)</f>
        <v>1</v>
      </c>
      <c r="F181" s="8">
        <f t="shared" si="4"/>
        <v>6.59</v>
      </c>
      <c r="G181" t="str">
        <f>_xlfn.XLOOKUP(B181,'Produtos &amp; Marcas'!B:B,'Produtos &amp; Marcas'!F:F)</f>
        <v>Nestlé Ninho</v>
      </c>
      <c r="H181" t="s">
        <v>29</v>
      </c>
      <c r="I181">
        <f>_xlfn.XLOOKUP(H181,'Base Mercado'!C:C,'Base Mercado'!A:A)</f>
        <v>5</v>
      </c>
      <c r="J181" s="8">
        <v>6.59</v>
      </c>
      <c r="K181" s="8">
        <v>6.4399999999999995</v>
      </c>
      <c r="L181" s="8">
        <f t="shared" si="5"/>
        <v>6.4399999999999995</v>
      </c>
      <c r="M181" s="13"/>
    </row>
    <row r="182" spans="1:13" x14ac:dyDescent="0.3">
      <c r="A182" s="3">
        <v>26</v>
      </c>
      <c r="B182" t="str">
        <f>_xlfn.XLOOKUP(A182,'Produtos &amp; Marcas'!A:A,'Produtos &amp; Marcas'!B:B)</f>
        <v>Leite | Nestlé Ninho | 1 | Unidade</v>
      </c>
      <c r="C182" t="str">
        <f>_xlfn.XLOOKUP(B182,'Produtos &amp; Marcas'!B:B,'Produtos &amp; Marcas'!C:C)</f>
        <v>Leite</v>
      </c>
      <c r="D182" t="str">
        <f>_xlfn.XLOOKUP(B182,'Produtos &amp; Marcas'!B:B,'Produtos &amp; Marcas'!D:D)</f>
        <v>Unidade</v>
      </c>
      <c r="E182" s="3">
        <f>_xlfn.XLOOKUP(B182,'Produtos &amp; Marcas'!B:B,'Produtos &amp; Marcas'!E:E)</f>
        <v>1</v>
      </c>
      <c r="F182" s="8">
        <f t="shared" si="4"/>
        <v>4.59</v>
      </c>
      <c r="G182" t="str">
        <f>_xlfn.XLOOKUP(B182,'Produtos &amp; Marcas'!B:B,'Produtos &amp; Marcas'!F:F)</f>
        <v>Nestlé Ninho</v>
      </c>
      <c r="H182" t="s">
        <v>30</v>
      </c>
      <c r="I182">
        <f>_xlfn.XLOOKUP(H182,'Base Mercado'!C:C,'Base Mercado'!A:A)</f>
        <v>6</v>
      </c>
      <c r="J182" s="8">
        <v>4.59</v>
      </c>
      <c r="K182" s="8">
        <v>4.4399999999999995</v>
      </c>
      <c r="L182" s="8">
        <f t="shared" si="5"/>
        <v>4.4399999999999995</v>
      </c>
      <c r="M182" s="13"/>
    </row>
    <row r="183" spans="1:13" x14ac:dyDescent="0.3">
      <c r="A183" s="3">
        <v>26</v>
      </c>
      <c r="B183" t="str">
        <f>_xlfn.XLOOKUP(A183,'Produtos &amp; Marcas'!A:A,'Produtos &amp; Marcas'!B:B)</f>
        <v>Leite | Nestlé Ninho | 1 | Unidade</v>
      </c>
      <c r="C183" t="str">
        <f>_xlfn.XLOOKUP(B183,'Produtos &amp; Marcas'!B:B,'Produtos &amp; Marcas'!C:C)</f>
        <v>Leite</v>
      </c>
      <c r="D183" t="str">
        <f>_xlfn.XLOOKUP(B183,'Produtos &amp; Marcas'!B:B,'Produtos &amp; Marcas'!D:D)</f>
        <v>Unidade</v>
      </c>
      <c r="E183" s="3">
        <f>_xlfn.XLOOKUP(B183,'Produtos &amp; Marcas'!B:B,'Produtos &amp; Marcas'!E:E)</f>
        <v>1</v>
      </c>
      <c r="F183" s="8">
        <f t="shared" si="4"/>
        <v>5.59</v>
      </c>
      <c r="G183" t="str">
        <f>_xlfn.XLOOKUP(B183,'Produtos &amp; Marcas'!B:B,'Produtos &amp; Marcas'!F:F)</f>
        <v>Nestlé Ninho</v>
      </c>
      <c r="H183" t="s">
        <v>31</v>
      </c>
      <c r="I183">
        <f>_xlfn.XLOOKUP(H183,'Base Mercado'!C:C,'Base Mercado'!A:A)</f>
        <v>7</v>
      </c>
      <c r="J183" s="8">
        <v>5.59</v>
      </c>
      <c r="L183" s="8">
        <f t="shared" si="5"/>
        <v>5.59</v>
      </c>
      <c r="M183" s="13"/>
    </row>
    <row r="184" spans="1:13" x14ac:dyDescent="0.3">
      <c r="A184" s="3">
        <v>27</v>
      </c>
      <c r="B184" t="str">
        <f>_xlfn.XLOOKUP(A184,'Produtos &amp; Marcas'!A:A,'Produtos &amp; Marcas'!B:B)</f>
        <v>Leite | Tirol | 1 | Unidade</v>
      </c>
      <c r="C184" t="str">
        <f>_xlfn.XLOOKUP(B184,'Produtos &amp; Marcas'!B:B,'Produtos &amp; Marcas'!C:C)</f>
        <v>Leite</v>
      </c>
      <c r="D184" t="str">
        <f>_xlfn.XLOOKUP(B184,'Produtos &amp; Marcas'!B:B,'Produtos &amp; Marcas'!D:D)</f>
        <v>Unidade</v>
      </c>
      <c r="E184" s="3">
        <f>_xlfn.XLOOKUP(B184,'Produtos &amp; Marcas'!B:B,'Produtos &amp; Marcas'!E:E)</f>
        <v>1</v>
      </c>
      <c r="F184" s="8">
        <f t="shared" si="4"/>
        <v>4.3899999999999997</v>
      </c>
      <c r="G184" t="str">
        <f>_xlfn.XLOOKUP(B184,'Produtos &amp; Marcas'!B:B,'Produtos &amp; Marcas'!F:F)</f>
        <v>Tirol</v>
      </c>
      <c r="H184" t="s">
        <v>25</v>
      </c>
      <c r="I184">
        <f>_xlfn.XLOOKUP(H184,'Base Mercado'!C:C,'Base Mercado'!A:A)</f>
        <v>1</v>
      </c>
      <c r="J184" s="8">
        <v>4.3899999999999997</v>
      </c>
      <c r="L184" s="8">
        <f t="shared" si="5"/>
        <v>4.3899999999999997</v>
      </c>
      <c r="M184" s="13"/>
    </row>
    <row r="185" spans="1:13" x14ac:dyDescent="0.3">
      <c r="A185" s="3">
        <v>27</v>
      </c>
      <c r="B185" t="str">
        <f>_xlfn.XLOOKUP(A185,'Produtos &amp; Marcas'!A:A,'Produtos &amp; Marcas'!B:B)</f>
        <v>Leite | Tirol | 1 | Unidade</v>
      </c>
      <c r="C185" t="str">
        <f>_xlfn.XLOOKUP(B185,'Produtos &amp; Marcas'!B:B,'Produtos &amp; Marcas'!C:C)</f>
        <v>Leite</v>
      </c>
      <c r="D185" t="str">
        <f>_xlfn.XLOOKUP(B185,'Produtos &amp; Marcas'!B:B,'Produtos &amp; Marcas'!D:D)</f>
        <v>Unidade</v>
      </c>
      <c r="E185" s="3">
        <f>_xlfn.XLOOKUP(B185,'Produtos &amp; Marcas'!B:B,'Produtos &amp; Marcas'!E:E)</f>
        <v>1</v>
      </c>
      <c r="F185" s="8">
        <f t="shared" si="4"/>
        <v>6.39</v>
      </c>
      <c r="G185" t="str">
        <f>_xlfn.XLOOKUP(B185,'Produtos &amp; Marcas'!B:B,'Produtos &amp; Marcas'!F:F)</f>
        <v>Tirol</v>
      </c>
      <c r="H185" t="s">
        <v>27</v>
      </c>
      <c r="I185">
        <f>_xlfn.XLOOKUP(H185,'Base Mercado'!C:C,'Base Mercado'!A:A)</f>
        <v>2</v>
      </c>
      <c r="J185" s="8">
        <v>6.39</v>
      </c>
      <c r="L185" s="8">
        <f t="shared" si="5"/>
        <v>6.39</v>
      </c>
      <c r="M185" s="13"/>
    </row>
    <row r="186" spans="1:13" x14ac:dyDescent="0.3">
      <c r="A186" s="3">
        <v>27</v>
      </c>
      <c r="B186" t="str">
        <f>_xlfn.XLOOKUP(A186,'Produtos &amp; Marcas'!A:A,'Produtos &amp; Marcas'!B:B)</f>
        <v>Leite | Tirol | 1 | Unidade</v>
      </c>
      <c r="C186" t="str">
        <f>_xlfn.XLOOKUP(B186,'Produtos &amp; Marcas'!B:B,'Produtos &amp; Marcas'!C:C)</f>
        <v>Leite</v>
      </c>
      <c r="D186" t="str">
        <f>_xlfn.XLOOKUP(B186,'Produtos &amp; Marcas'!B:B,'Produtos &amp; Marcas'!D:D)</f>
        <v>Unidade</v>
      </c>
      <c r="E186" s="3">
        <f>_xlfn.XLOOKUP(B186,'Produtos &amp; Marcas'!B:B,'Produtos &amp; Marcas'!E:E)</f>
        <v>1</v>
      </c>
      <c r="F186" s="8">
        <f t="shared" si="4"/>
        <v>4.3899999999999997</v>
      </c>
      <c r="G186" t="str">
        <f>_xlfn.XLOOKUP(B186,'Produtos &amp; Marcas'!B:B,'Produtos &amp; Marcas'!F:F)</f>
        <v>Tirol</v>
      </c>
      <c r="H186" t="s">
        <v>26</v>
      </c>
      <c r="I186">
        <f>_xlfn.XLOOKUP(H186,'Base Mercado'!C:C,'Base Mercado'!A:A)</f>
        <v>3</v>
      </c>
      <c r="J186" s="8">
        <v>4.3899999999999997</v>
      </c>
      <c r="L186" s="8">
        <f t="shared" si="5"/>
        <v>4.3899999999999997</v>
      </c>
      <c r="M186" s="13"/>
    </row>
    <row r="187" spans="1:13" x14ac:dyDescent="0.3">
      <c r="A187" s="3">
        <v>27</v>
      </c>
      <c r="B187" t="str">
        <f>_xlfn.XLOOKUP(A187,'Produtos &amp; Marcas'!A:A,'Produtos &amp; Marcas'!B:B)</f>
        <v>Leite | Tirol | 1 | Unidade</v>
      </c>
      <c r="C187" t="str">
        <f>_xlfn.XLOOKUP(B187,'Produtos &amp; Marcas'!B:B,'Produtos &amp; Marcas'!C:C)</f>
        <v>Leite</v>
      </c>
      <c r="D187" t="str">
        <f>_xlfn.XLOOKUP(B187,'Produtos &amp; Marcas'!B:B,'Produtos &amp; Marcas'!D:D)</f>
        <v>Unidade</v>
      </c>
      <c r="E187" s="3">
        <f>_xlfn.XLOOKUP(B187,'Produtos &amp; Marcas'!B:B,'Produtos &amp; Marcas'!E:E)</f>
        <v>1</v>
      </c>
      <c r="F187" s="8">
        <f t="shared" si="4"/>
        <v>6.39</v>
      </c>
      <c r="G187" t="str">
        <f>_xlfn.XLOOKUP(B187,'Produtos &amp; Marcas'!B:B,'Produtos &amp; Marcas'!F:F)</f>
        <v>Tirol</v>
      </c>
      <c r="H187" t="s">
        <v>28</v>
      </c>
      <c r="I187">
        <f>_xlfn.XLOOKUP(H187,'Base Mercado'!C:C,'Base Mercado'!A:A)</f>
        <v>4</v>
      </c>
      <c r="J187" s="8">
        <v>6.39</v>
      </c>
      <c r="L187" s="8">
        <f t="shared" si="5"/>
        <v>6.39</v>
      </c>
      <c r="M187" s="13"/>
    </row>
    <row r="188" spans="1:13" x14ac:dyDescent="0.3">
      <c r="A188" s="3">
        <v>27</v>
      </c>
      <c r="B188" t="str">
        <f>_xlfn.XLOOKUP(A188,'Produtos &amp; Marcas'!A:A,'Produtos &amp; Marcas'!B:B)</f>
        <v>Leite | Tirol | 1 | Unidade</v>
      </c>
      <c r="C188" t="str">
        <f>_xlfn.XLOOKUP(B188,'Produtos &amp; Marcas'!B:B,'Produtos &amp; Marcas'!C:C)</f>
        <v>Leite</v>
      </c>
      <c r="D188" t="str">
        <f>_xlfn.XLOOKUP(B188,'Produtos &amp; Marcas'!B:B,'Produtos &amp; Marcas'!D:D)</f>
        <v>Unidade</v>
      </c>
      <c r="E188" s="3">
        <f>_xlfn.XLOOKUP(B188,'Produtos &amp; Marcas'!B:B,'Produtos &amp; Marcas'!E:E)</f>
        <v>1</v>
      </c>
      <c r="F188" s="8">
        <f t="shared" si="4"/>
        <v>4.3899999999999997</v>
      </c>
      <c r="G188" t="str">
        <f>_xlfn.XLOOKUP(B188,'Produtos &amp; Marcas'!B:B,'Produtos &amp; Marcas'!F:F)</f>
        <v>Tirol</v>
      </c>
      <c r="H188" t="s">
        <v>29</v>
      </c>
      <c r="I188">
        <f>_xlfn.XLOOKUP(H188,'Base Mercado'!C:C,'Base Mercado'!A:A)</f>
        <v>5</v>
      </c>
      <c r="J188" s="8">
        <v>4.3899999999999997</v>
      </c>
      <c r="L188" s="8">
        <f t="shared" si="5"/>
        <v>4.3899999999999997</v>
      </c>
      <c r="M188" s="13"/>
    </row>
    <row r="189" spans="1:13" x14ac:dyDescent="0.3">
      <c r="A189" s="3">
        <v>27</v>
      </c>
      <c r="B189" t="str">
        <f>_xlfn.XLOOKUP(A189,'Produtos &amp; Marcas'!A:A,'Produtos &amp; Marcas'!B:B)</f>
        <v>Leite | Tirol | 1 | Unidade</v>
      </c>
      <c r="C189" t="str">
        <f>_xlfn.XLOOKUP(B189,'Produtos &amp; Marcas'!B:B,'Produtos &amp; Marcas'!C:C)</f>
        <v>Leite</v>
      </c>
      <c r="D189" t="str">
        <f>_xlfn.XLOOKUP(B189,'Produtos &amp; Marcas'!B:B,'Produtos &amp; Marcas'!D:D)</f>
        <v>Unidade</v>
      </c>
      <c r="E189" s="3">
        <f>_xlfn.XLOOKUP(B189,'Produtos &amp; Marcas'!B:B,'Produtos &amp; Marcas'!E:E)</f>
        <v>1</v>
      </c>
      <c r="F189" s="8">
        <f t="shared" si="4"/>
        <v>3.3899999999999997</v>
      </c>
      <c r="G189" t="str">
        <f>_xlfn.XLOOKUP(B189,'Produtos &amp; Marcas'!B:B,'Produtos &amp; Marcas'!F:F)</f>
        <v>Tirol</v>
      </c>
      <c r="H189" t="s">
        <v>30</v>
      </c>
      <c r="I189">
        <f>_xlfn.XLOOKUP(H189,'Base Mercado'!C:C,'Base Mercado'!A:A)</f>
        <v>6</v>
      </c>
      <c r="J189" s="8">
        <v>3.3899999999999997</v>
      </c>
      <c r="L189" s="8">
        <f t="shared" si="5"/>
        <v>3.3899999999999997</v>
      </c>
      <c r="M189" s="13"/>
    </row>
    <row r="190" spans="1:13" x14ac:dyDescent="0.3">
      <c r="A190" s="3">
        <v>27</v>
      </c>
      <c r="B190" t="str">
        <f>_xlfn.XLOOKUP(A190,'Produtos &amp; Marcas'!A:A,'Produtos &amp; Marcas'!B:B)</f>
        <v>Leite | Tirol | 1 | Unidade</v>
      </c>
      <c r="C190" t="str">
        <f>_xlfn.XLOOKUP(B190,'Produtos &amp; Marcas'!B:B,'Produtos &amp; Marcas'!C:C)</f>
        <v>Leite</v>
      </c>
      <c r="D190" t="str">
        <f>_xlfn.XLOOKUP(B190,'Produtos &amp; Marcas'!B:B,'Produtos &amp; Marcas'!D:D)</f>
        <v>Unidade</v>
      </c>
      <c r="E190" s="3">
        <f>_xlfn.XLOOKUP(B190,'Produtos &amp; Marcas'!B:B,'Produtos &amp; Marcas'!E:E)</f>
        <v>1</v>
      </c>
      <c r="F190" s="8">
        <f t="shared" si="4"/>
        <v>3.3899999999999997</v>
      </c>
      <c r="G190" t="str">
        <f>_xlfn.XLOOKUP(B190,'Produtos &amp; Marcas'!B:B,'Produtos &amp; Marcas'!F:F)</f>
        <v>Tirol</v>
      </c>
      <c r="H190" t="s">
        <v>31</v>
      </c>
      <c r="I190">
        <f>_xlfn.XLOOKUP(H190,'Base Mercado'!C:C,'Base Mercado'!A:A)</f>
        <v>7</v>
      </c>
      <c r="J190" s="8">
        <v>3.3899999999999997</v>
      </c>
      <c r="L190" s="8">
        <f t="shared" si="5"/>
        <v>3.3899999999999997</v>
      </c>
      <c r="M190" s="13"/>
    </row>
    <row r="191" spans="1:13" x14ac:dyDescent="0.3">
      <c r="A191" s="3">
        <v>29</v>
      </c>
      <c r="B191" t="str">
        <f>_xlfn.XLOOKUP(A191,'Produtos &amp; Marcas'!A:A,'Produtos &amp; Marcas'!B:B)</f>
        <v>Margarina | Qualy | 0,5 | Kg</v>
      </c>
      <c r="C191" t="str">
        <f>_xlfn.XLOOKUP(B191,'Produtos &amp; Marcas'!B:B,'Produtos &amp; Marcas'!C:C)</f>
        <v>Margarina</v>
      </c>
      <c r="D191" t="str">
        <f>_xlfn.XLOOKUP(B191,'Produtos &amp; Marcas'!B:B,'Produtos &amp; Marcas'!D:D)</f>
        <v>Kg</v>
      </c>
      <c r="E191" s="3">
        <f>_xlfn.XLOOKUP(B191,'Produtos &amp; Marcas'!B:B,'Produtos &amp; Marcas'!E:E)</f>
        <v>0.5</v>
      </c>
      <c r="F191" s="8">
        <f t="shared" si="4"/>
        <v>15.96</v>
      </c>
      <c r="G191" t="str">
        <f>_xlfn.XLOOKUP(B191,'Produtos &amp; Marcas'!B:B,'Produtos &amp; Marcas'!F:F)</f>
        <v>Qualy</v>
      </c>
      <c r="H191" t="s">
        <v>25</v>
      </c>
      <c r="I191">
        <f>_xlfn.XLOOKUP(H191,'Base Mercado'!C:C,'Base Mercado'!A:A)</f>
        <v>1</v>
      </c>
      <c r="J191" s="8">
        <v>7.98</v>
      </c>
      <c r="L191" s="8">
        <f t="shared" si="5"/>
        <v>7.98</v>
      </c>
      <c r="M191" s="13"/>
    </row>
    <row r="192" spans="1:13" x14ac:dyDescent="0.3">
      <c r="A192" s="3">
        <v>29</v>
      </c>
      <c r="B192" t="str">
        <f>_xlfn.XLOOKUP(A192,'Produtos &amp; Marcas'!A:A,'Produtos &amp; Marcas'!B:B)</f>
        <v>Margarina | Qualy | 0,5 | Kg</v>
      </c>
      <c r="C192" t="str">
        <f>_xlfn.XLOOKUP(B192,'Produtos &amp; Marcas'!B:B,'Produtos &amp; Marcas'!C:C)</f>
        <v>Margarina</v>
      </c>
      <c r="D192" t="str">
        <f>_xlfn.XLOOKUP(B192,'Produtos &amp; Marcas'!B:B,'Produtos &amp; Marcas'!D:D)</f>
        <v>Kg</v>
      </c>
      <c r="E192" s="3">
        <f>_xlfn.XLOOKUP(B192,'Produtos &amp; Marcas'!B:B,'Produtos &amp; Marcas'!E:E)</f>
        <v>0.5</v>
      </c>
      <c r="F192" s="8">
        <f t="shared" si="4"/>
        <v>13.96</v>
      </c>
      <c r="G192" t="str">
        <f>_xlfn.XLOOKUP(B192,'Produtos &amp; Marcas'!B:B,'Produtos &amp; Marcas'!F:F)</f>
        <v>Qualy</v>
      </c>
      <c r="H192" t="s">
        <v>27</v>
      </c>
      <c r="I192">
        <f>_xlfn.XLOOKUP(H192,'Base Mercado'!C:C,'Base Mercado'!A:A)</f>
        <v>2</v>
      </c>
      <c r="J192" s="8">
        <v>6.98</v>
      </c>
      <c r="L192" s="8">
        <f t="shared" si="5"/>
        <v>6.98</v>
      </c>
      <c r="M192" s="13"/>
    </row>
    <row r="193" spans="1:13" x14ac:dyDescent="0.3">
      <c r="A193" s="3">
        <v>29</v>
      </c>
      <c r="B193" t="str">
        <f>_xlfn.XLOOKUP(A193,'Produtos &amp; Marcas'!A:A,'Produtos &amp; Marcas'!B:B)</f>
        <v>Margarina | Qualy | 0,5 | Kg</v>
      </c>
      <c r="C193" t="str">
        <f>_xlfn.XLOOKUP(B193,'Produtos &amp; Marcas'!B:B,'Produtos &amp; Marcas'!C:C)</f>
        <v>Margarina</v>
      </c>
      <c r="D193" t="str">
        <f>_xlfn.XLOOKUP(B193,'Produtos &amp; Marcas'!B:B,'Produtos &amp; Marcas'!D:D)</f>
        <v>Kg</v>
      </c>
      <c r="E193" s="3">
        <f>_xlfn.XLOOKUP(B193,'Produtos &amp; Marcas'!B:B,'Produtos &amp; Marcas'!E:E)</f>
        <v>0.5</v>
      </c>
      <c r="F193" s="8">
        <f t="shared" si="4"/>
        <v>17.96</v>
      </c>
      <c r="G193" t="str">
        <f>_xlfn.XLOOKUP(B193,'Produtos &amp; Marcas'!B:B,'Produtos &amp; Marcas'!F:F)</f>
        <v>Qualy</v>
      </c>
      <c r="H193" t="s">
        <v>26</v>
      </c>
      <c r="I193">
        <f>_xlfn.XLOOKUP(H193,'Base Mercado'!C:C,'Base Mercado'!A:A)</f>
        <v>3</v>
      </c>
      <c r="J193" s="8">
        <v>8.98</v>
      </c>
      <c r="L193" s="8">
        <f t="shared" si="5"/>
        <v>8.98</v>
      </c>
      <c r="M193" s="13"/>
    </row>
    <row r="194" spans="1:13" x14ac:dyDescent="0.3">
      <c r="A194" s="3">
        <v>29</v>
      </c>
      <c r="B194" t="str">
        <f>_xlfn.XLOOKUP(A194,'Produtos &amp; Marcas'!A:A,'Produtos &amp; Marcas'!B:B)</f>
        <v>Margarina | Qualy | 0,5 | Kg</v>
      </c>
      <c r="C194" t="str">
        <f>_xlfn.XLOOKUP(B194,'Produtos &amp; Marcas'!B:B,'Produtos &amp; Marcas'!C:C)</f>
        <v>Margarina</v>
      </c>
      <c r="D194" t="str">
        <f>_xlfn.XLOOKUP(B194,'Produtos &amp; Marcas'!B:B,'Produtos &amp; Marcas'!D:D)</f>
        <v>Kg</v>
      </c>
      <c r="E194" s="3">
        <f>_xlfn.XLOOKUP(B194,'Produtos &amp; Marcas'!B:B,'Produtos &amp; Marcas'!E:E)</f>
        <v>0.5</v>
      </c>
      <c r="F194" s="8">
        <f t="shared" ref="F194:F257" si="6">J194/E194</f>
        <v>15.96</v>
      </c>
      <c r="G194" t="str">
        <f>_xlfn.XLOOKUP(B194,'Produtos &amp; Marcas'!B:B,'Produtos &amp; Marcas'!F:F)</f>
        <v>Qualy</v>
      </c>
      <c r="H194" t="s">
        <v>28</v>
      </c>
      <c r="I194">
        <f>_xlfn.XLOOKUP(H194,'Base Mercado'!C:C,'Base Mercado'!A:A)</f>
        <v>4</v>
      </c>
      <c r="J194" s="8">
        <v>7.98</v>
      </c>
      <c r="L194" s="8">
        <f t="shared" si="5"/>
        <v>7.98</v>
      </c>
      <c r="M194" s="13"/>
    </row>
    <row r="195" spans="1:13" x14ac:dyDescent="0.3">
      <c r="A195" s="3">
        <v>29</v>
      </c>
      <c r="B195" t="str">
        <f>_xlfn.XLOOKUP(A195,'Produtos &amp; Marcas'!A:A,'Produtos &amp; Marcas'!B:B)</f>
        <v>Margarina | Qualy | 0,5 | Kg</v>
      </c>
      <c r="C195" t="str">
        <f>_xlfn.XLOOKUP(B195,'Produtos &amp; Marcas'!B:B,'Produtos &amp; Marcas'!C:C)</f>
        <v>Margarina</v>
      </c>
      <c r="D195" t="str">
        <f>_xlfn.XLOOKUP(B195,'Produtos &amp; Marcas'!B:B,'Produtos &amp; Marcas'!D:D)</f>
        <v>Kg</v>
      </c>
      <c r="E195" s="3">
        <f>_xlfn.XLOOKUP(B195,'Produtos &amp; Marcas'!B:B,'Produtos &amp; Marcas'!E:E)</f>
        <v>0.5</v>
      </c>
      <c r="F195" s="8">
        <f t="shared" si="6"/>
        <v>15.96</v>
      </c>
      <c r="G195" t="str">
        <f>_xlfn.XLOOKUP(B195,'Produtos &amp; Marcas'!B:B,'Produtos &amp; Marcas'!F:F)</f>
        <v>Qualy</v>
      </c>
      <c r="H195" t="s">
        <v>29</v>
      </c>
      <c r="I195">
        <f>_xlfn.XLOOKUP(H195,'Base Mercado'!C:C,'Base Mercado'!A:A)</f>
        <v>5</v>
      </c>
      <c r="J195" s="8">
        <v>7.98</v>
      </c>
      <c r="L195" s="8">
        <f t="shared" ref="L195:L258" si="7">IF(AND(K195&lt;&gt;"",K195&lt;J195),K195,J195)</f>
        <v>7.98</v>
      </c>
      <c r="M195" s="13"/>
    </row>
    <row r="196" spans="1:13" x14ac:dyDescent="0.3">
      <c r="A196" s="3">
        <v>29</v>
      </c>
      <c r="B196" t="str">
        <f>_xlfn.XLOOKUP(A196,'Produtos &amp; Marcas'!A:A,'Produtos &amp; Marcas'!B:B)</f>
        <v>Margarina | Qualy | 0,5 | Kg</v>
      </c>
      <c r="C196" t="str">
        <f>_xlfn.XLOOKUP(B196,'Produtos &amp; Marcas'!B:B,'Produtos &amp; Marcas'!C:C)</f>
        <v>Margarina</v>
      </c>
      <c r="D196" t="str">
        <f>_xlfn.XLOOKUP(B196,'Produtos &amp; Marcas'!B:B,'Produtos &amp; Marcas'!D:D)</f>
        <v>Kg</v>
      </c>
      <c r="E196" s="3">
        <f>_xlfn.XLOOKUP(B196,'Produtos &amp; Marcas'!B:B,'Produtos &amp; Marcas'!E:E)</f>
        <v>0.5</v>
      </c>
      <c r="F196" s="8">
        <f t="shared" si="6"/>
        <v>17.96</v>
      </c>
      <c r="G196" t="str">
        <f>_xlfn.XLOOKUP(B196,'Produtos &amp; Marcas'!B:B,'Produtos &amp; Marcas'!F:F)</f>
        <v>Qualy</v>
      </c>
      <c r="H196" t="s">
        <v>30</v>
      </c>
      <c r="I196">
        <f>_xlfn.XLOOKUP(H196,'Base Mercado'!C:C,'Base Mercado'!A:A)</f>
        <v>6</v>
      </c>
      <c r="J196" s="8">
        <v>8.98</v>
      </c>
      <c r="L196" s="8">
        <f t="shared" si="7"/>
        <v>8.98</v>
      </c>
      <c r="M196" s="13"/>
    </row>
    <row r="197" spans="1:13" x14ac:dyDescent="0.3">
      <c r="A197" s="3">
        <v>29</v>
      </c>
      <c r="B197" t="str">
        <f>_xlfn.XLOOKUP(A197,'Produtos &amp; Marcas'!A:A,'Produtos &amp; Marcas'!B:B)</f>
        <v>Margarina | Qualy | 0,5 | Kg</v>
      </c>
      <c r="C197" t="str">
        <f>_xlfn.XLOOKUP(B197,'Produtos &amp; Marcas'!B:B,'Produtos &amp; Marcas'!C:C)</f>
        <v>Margarina</v>
      </c>
      <c r="D197" t="str">
        <f>_xlfn.XLOOKUP(B197,'Produtos &amp; Marcas'!B:B,'Produtos &amp; Marcas'!D:D)</f>
        <v>Kg</v>
      </c>
      <c r="E197" s="3">
        <f>_xlfn.XLOOKUP(B197,'Produtos &amp; Marcas'!B:B,'Produtos &amp; Marcas'!E:E)</f>
        <v>0.5</v>
      </c>
      <c r="F197" s="8">
        <f t="shared" si="6"/>
        <v>13.96</v>
      </c>
      <c r="G197" t="str">
        <f>_xlfn.XLOOKUP(B197,'Produtos &amp; Marcas'!B:B,'Produtos &amp; Marcas'!F:F)</f>
        <v>Qualy</v>
      </c>
      <c r="H197" t="s">
        <v>31</v>
      </c>
      <c r="I197">
        <f>_xlfn.XLOOKUP(H197,'Base Mercado'!C:C,'Base Mercado'!A:A)</f>
        <v>7</v>
      </c>
      <c r="J197" s="8">
        <v>6.98</v>
      </c>
      <c r="L197" s="8">
        <f t="shared" si="7"/>
        <v>6.98</v>
      </c>
      <c r="M197" s="13"/>
    </row>
    <row r="198" spans="1:13" x14ac:dyDescent="0.3">
      <c r="A198" s="3">
        <v>30</v>
      </c>
      <c r="B198" t="str">
        <f>_xlfn.XLOOKUP(A198,'Produtos &amp; Marcas'!A:A,'Produtos &amp; Marcas'!B:B)</f>
        <v>Margarina | Claybom | 0,5 | Kg</v>
      </c>
      <c r="C198" t="str">
        <f>_xlfn.XLOOKUP(B198,'Produtos &amp; Marcas'!B:B,'Produtos &amp; Marcas'!C:C)</f>
        <v>Margarina</v>
      </c>
      <c r="D198" t="str">
        <f>_xlfn.XLOOKUP(B198,'Produtos &amp; Marcas'!B:B,'Produtos &amp; Marcas'!D:D)</f>
        <v>Kg</v>
      </c>
      <c r="E198" s="3">
        <f>_xlfn.XLOOKUP(B198,'Produtos &amp; Marcas'!B:B,'Produtos &amp; Marcas'!E:E)</f>
        <v>0.5</v>
      </c>
      <c r="F198" s="8">
        <f t="shared" si="6"/>
        <v>17</v>
      </c>
      <c r="G198" t="str">
        <f>_xlfn.XLOOKUP(B198,'Produtos &amp; Marcas'!B:B,'Produtos &amp; Marcas'!F:F)</f>
        <v>Claybom</v>
      </c>
      <c r="H198" t="s">
        <v>25</v>
      </c>
      <c r="I198">
        <f>_xlfn.XLOOKUP(H198,'Base Mercado'!C:C,'Base Mercado'!A:A)</f>
        <v>1</v>
      </c>
      <c r="J198" s="8">
        <v>8.5</v>
      </c>
      <c r="L198" s="8">
        <f t="shared" si="7"/>
        <v>8.5</v>
      </c>
      <c r="M198" s="13"/>
    </row>
    <row r="199" spans="1:13" x14ac:dyDescent="0.3">
      <c r="A199" s="3">
        <v>30</v>
      </c>
      <c r="B199" t="str">
        <f>_xlfn.XLOOKUP(A199,'Produtos &amp; Marcas'!A:A,'Produtos &amp; Marcas'!B:B)</f>
        <v>Margarina | Claybom | 0,5 | Kg</v>
      </c>
      <c r="C199" t="str">
        <f>_xlfn.XLOOKUP(B199,'Produtos &amp; Marcas'!B:B,'Produtos &amp; Marcas'!C:C)</f>
        <v>Margarina</v>
      </c>
      <c r="D199" t="str">
        <f>_xlfn.XLOOKUP(B199,'Produtos &amp; Marcas'!B:B,'Produtos &amp; Marcas'!D:D)</f>
        <v>Kg</v>
      </c>
      <c r="E199" s="3">
        <f>_xlfn.XLOOKUP(B199,'Produtos &amp; Marcas'!B:B,'Produtos &amp; Marcas'!E:E)</f>
        <v>0.5</v>
      </c>
      <c r="F199" s="8">
        <f t="shared" si="6"/>
        <v>21</v>
      </c>
      <c r="G199" t="str">
        <f>_xlfn.XLOOKUP(B199,'Produtos &amp; Marcas'!B:B,'Produtos &amp; Marcas'!F:F)</f>
        <v>Claybom</v>
      </c>
      <c r="H199" t="s">
        <v>27</v>
      </c>
      <c r="I199">
        <f>_xlfn.XLOOKUP(H199,'Base Mercado'!C:C,'Base Mercado'!A:A)</f>
        <v>2</v>
      </c>
      <c r="J199" s="8">
        <v>10.5</v>
      </c>
      <c r="L199" s="8">
        <f t="shared" si="7"/>
        <v>10.5</v>
      </c>
      <c r="M199" s="13"/>
    </row>
    <row r="200" spans="1:13" x14ac:dyDescent="0.3">
      <c r="A200" s="3">
        <v>30</v>
      </c>
      <c r="B200" t="str">
        <f>_xlfn.XLOOKUP(A200,'Produtos &amp; Marcas'!A:A,'Produtos &amp; Marcas'!B:B)</f>
        <v>Margarina | Claybom | 0,5 | Kg</v>
      </c>
      <c r="C200" t="str">
        <f>_xlfn.XLOOKUP(B200,'Produtos &amp; Marcas'!B:B,'Produtos &amp; Marcas'!C:C)</f>
        <v>Margarina</v>
      </c>
      <c r="D200" t="str">
        <f>_xlfn.XLOOKUP(B200,'Produtos &amp; Marcas'!B:B,'Produtos &amp; Marcas'!D:D)</f>
        <v>Kg</v>
      </c>
      <c r="E200" s="3">
        <f>_xlfn.XLOOKUP(B200,'Produtos &amp; Marcas'!B:B,'Produtos &amp; Marcas'!E:E)</f>
        <v>0.5</v>
      </c>
      <c r="F200" s="8">
        <f t="shared" si="6"/>
        <v>17</v>
      </c>
      <c r="G200" t="str">
        <f>_xlfn.XLOOKUP(B200,'Produtos &amp; Marcas'!B:B,'Produtos &amp; Marcas'!F:F)</f>
        <v>Claybom</v>
      </c>
      <c r="H200" t="s">
        <v>26</v>
      </c>
      <c r="I200">
        <f>_xlfn.XLOOKUP(H200,'Base Mercado'!C:C,'Base Mercado'!A:A)</f>
        <v>3</v>
      </c>
      <c r="J200" s="8">
        <v>8.5</v>
      </c>
      <c r="L200" s="8">
        <f t="shared" si="7"/>
        <v>8.5</v>
      </c>
      <c r="M200" s="13"/>
    </row>
    <row r="201" spans="1:13" x14ac:dyDescent="0.3">
      <c r="A201" s="3">
        <v>30</v>
      </c>
      <c r="B201" t="str">
        <f>_xlfn.XLOOKUP(A201,'Produtos &amp; Marcas'!A:A,'Produtos &amp; Marcas'!B:B)</f>
        <v>Margarina | Claybom | 0,5 | Kg</v>
      </c>
      <c r="C201" t="str">
        <f>_xlfn.XLOOKUP(B201,'Produtos &amp; Marcas'!B:B,'Produtos &amp; Marcas'!C:C)</f>
        <v>Margarina</v>
      </c>
      <c r="D201" t="str">
        <f>_xlfn.XLOOKUP(B201,'Produtos &amp; Marcas'!B:B,'Produtos &amp; Marcas'!D:D)</f>
        <v>Kg</v>
      </c>
      <c r="E201" s="3">
        <f>_xlfn.XLOOKUP(B201,'Produtos &amp; Marcas'!B:B,'Produtos &amp; Marcas'!E:E)</f>
        <v>0.5</v>
      </c>
      <c r="F201" s="8">
        <f t="shared" si="6"/>
        <v>17</v>
      </c>
      <c r="G201" t="str">
        <f>_xlfn.XLOOKUP(B201,'Produtos &amp; Marcas'!B:B,'Produtos &amp; Marcas'!F:F)</f>
        <v>Claybom</v>
      </c>
      <c r="H201" t="s">
        <v>28</v>
      </c>
      <c r="I201">
        <f>_xlfn.XLOOKUP(H201,'Base Mercado'!C:C,'Base Mercado'!A:A)</f>
        <v>4</v>
      </c>
      <c r="J201" s="8">
        <v>8.5</v>
      </c>
      <c r="L201" s="8">
        <f t="shared" si="7"/>
        <v>8.5</v>
      </c>
      <c r="M201" s="13"/>
    </row>
    <row r="202" spans="1:13" x14ac:dyDescent="0.3">
      <c r="A202" s="3">
        <v>30</v>
      </c>
      <c r="B202" t="str">
        <f>_xlfn.XLOOKUP(A202,'Produtos &amp; Marcas'!A:A,'Produtos &amp; Marcas'!B:B)</f>
        <v>Margarina | Claybom | 0,5 | Kg</v>
      </c>
      <c r="C202" t="str">
        <f>_xlfn.XLOOKUP(B202,'Produtos &amp; Marcas'!B:B,'Produtos &amp; Marcas'!C:C)</f>
        <v>Margarina</v>
      </c>
      <c r="D202" t="str">
        <f>_xlfn.XLOOKUP(B202,'Produtos &amp; Marcas'!B:B,'Produtos &amp; Marcas'!D:D)</f>
        <v>Kg</v>
      </c>
      <c r="E202" s="3">
        <f>_xlfn.XLOOKUP(B202,'Produtos &amp; Marcas'!B:B,'Produtos &amp; Marcas'!E:E)</f>
        <v>0.5</v>
      </c>
      <c r="F202" s="8">
        <f t="shared" si="6"/>
        <v>19</v>
      </c>
      <c r="G202" t="str">
        <f>_xlfn.XLOOKUP(B202,'Produtos &amp; Marcas'!B:B,'Produtos &amp; Marcas'!F:F)</f>
        <v>Claybom</v>
      </c>
      <c r="H202" t="s">
        <v>29</v>
      </c>
      <c r="I202">
        <f>_xlfn.XLOOKUP(H202,'Base Mercado'!C:C,'Base Mercado'!A:A)</f>
        <v>5</v>
      </c>
      <c r="J202" s="8">
        <v>9.5</v>
      </c>
      <c r="L202" s="8">
        <f t="shared" si="7"/>
        <v>9.5</v>
      </c>
      <c r="M202" s="13"/>
    </row>
    <row r="203" spans="1:13" x14ac:dyDescent="0.3">
      <c r="A203" s="3">
        <v>30</v>
      </c>
      <c r="B203" t="str">
        <f>_xlfn.XLOOKUP(A203,'Produtos &amp; Marcas'!A:A,'Produtos &amp; Marcas'!B:B)</f>
        <v>Margarina | Claybom | 0,5 | Kg</v>
      </c>
      <c r="C203" t="str">
        <f>_xlfn.XLOOKUP(B203,'Produtos &amp; Marcas'!B:B,'Produtos &amp; Marcas'!C:C)</f>
        <v>Margarina</v>
      </c>
      <c r="D203" t="str">
        <f>_xlfn.XLOOKUP(B203,'Produtos &amp; Marcas'!B:B,'Produtos &amp; Marcas'!D:D)</f>
        <v>Kg</v>
      </c>
      <c r="E203" s="3">
        <f>_xlfn.XLOOKUP(B203,'Produtos &amp; Marcas'!B:B,'Produtos &amp; Marcas'!E:E)</f>
        <v>0.5</v>
      </c>
      <c r="F203" s="8">
        <f t="shared" si="6"/>
        <v>17</v>
      </c>
      <c r="G203" t="str">
        <f>_xlfn.XLOOKUP(B203,'Produtos &amp; Marcas'!B:B,'Produtos &amp; Marcas'!F:F)</f>
        <v>Claybom</v>
      </c>
      <c r="H203" t="s">
        <v>30</v>
      </c>
      <c r="I203">
        <f>_xlfn.XLOOKUP(H203,'Base Mercado'!C:C,'Base Mercado'!A:A)</f>
        <v>6</v>
      </c>
      <c r="J203" s="8">
        <v>8.5</v>
      </c>
      <c r="L203" s="8">
        <f t="shared" si="7"/>
        <v>8.5</v>
      </c>
      <c r="M203" s="13"/>
    </row>
    <row r="204" spans="1:13" x14ac:dyDescent="0.3">
      <c r="A204" s="3">
        <v>30</v>
      </c>
      <c r="B204" t="str">
        <f>_xlfn.XLOOKUP(A204,'Produtos &amp; Marcas'!A:A,'Produtos &amp; Marcas'!B:B)</f>
        <v>Margarina | Claybom | 0,5 | Kg</v>
      </c>
      <c r="C204" t="str">
        <f>_xlfn.XLOOKUP(B204,'Produtos &amp; Marcas'!B:B,'Produtos &amp; Marcas'!C:C)</f>
        <v>Margarina</v>
      </c>
      <c r="D204" t="str">
        <f>_xlfn.XLOOKUP(B204,'Produtos &amp; Marcas'!B:B,'Produtos &amp; Marcas'!D:D)</f>
        <v>Kg</v>
      </c>
      <c r="E204" s="3">
        <f>_xlfn.XLOOKUP(B204,'Produtos &amp; Marcas'!B:B,'Produtos &amp; Marcas'!E:E)</f>
        <v>0.5</v>
      </c>
      <c r="F204" s="8">
        <f t="shared" si="6"/>
        <v>19</v>
      </c>
      <c r="G204" t="str">
        <f>_xlfn.XLOOKUP(B204,'Produtos &amp; Marcas'!B:B,'Produtos &amp; Marcas'!F:F)</f>
        <v>Claybom</v>
      </c>
      <c r="H204" t="s">
        <v>31</v>
      </c>
      <c r="I204">
        <f>_xlfn.XLOOKUP(H204,'Base Mercado'!C:C,'Base Mercado'!A:A)</f>
        <v>7</v>
      </c>
      <c r="J204" s="8">
        <v>9.5</v>
      </c>
      <c r="L204" s="8">
        <f t="shared" si="7"/>
        <v>9.5</v>
      </c>
      <c r="M204" s="13"/>
    </row>
    <row r="205" spans="1:13" x14ac:dyDescent="0.3">
      <c r="A205" s="3">
        <v>28</v>
      </c>
      <c r="B205" t="str">
        <f>_xlfn.XLOOKUP(A205,'Produtos &amp; Marcas'!A:A,'Produtos &amp; Marcas'!B:B)</f>
        <v>Margarina | Doriana | 0,5 | Kg</v>
      </c>
      <c r="C205" t="str">
        <f>_xlfn.XLOOKUP(B205,'Produtos &amp; Marcas'!B:B,'Produtos &amp; Marcas'!C:C)</f>
        <v>Margarina</v>
      </c>
      <c r="D205" t="str">
        <f>_xlfn.XLOOKUP(B205,'Produtos &amp; Marcas'!B:B,'Produtos &amp; Marcas'!D:D)</f>
        <v>Kg</v>
      </c>
      <c r="E205" s="3">
        <f>_xlfn.XLOOKUP(B205,'Produtos &amp; Marcas'!B:B,'Produtos &amp; Marcas'!E:E)</f>
        <v>0.5</v>
      </c>
      <c r="F205" s="8">
        <f t="shared" si="6"/>
        <v>14.98</v>
      </c>
      <c r="G205" t="str">
        <f>_xlfn.XLOOKUP(B205,'Produtos &amp; Marcas'!B:B,'Produtos &amp; Marcas'!F:F)</f>
        <v>Doriana</v>
      </c>
      <c r="H205" t="s">
        <v>25</v>
      </c>
      <c r="I205">
        <f>_xlfn.XLOOKUP(H205,'Base Mercado'!C:C,'Base Mercado'!A:A)</f>
        <v>1</v>
      </c>
      <c r="J205" s="8">
        <v>7.49</v>
      </c>
      <c r="L205" s="8">
        <f t="shared" si="7"/>
        <v>7.49</v>
      </c>
      <c r="M205" s="13"/>
    </row>
    <row r="206" spans="1:13" x14ac:dyDescent="0.3">
      <c r="A206" s="3">
        <v>28</v>
      </c>
      <c r="B206" t="str">
        <f>_xlfn.XLOOKUP(A206,'Produtos &amp; Marcas'!A:A,'Produtos &amp; Marcas'!B:B)</f>
        <v>Margarina | Doriana | 0,5 | Kg</v>
      </c>
      <c r="C206" t="str">
        <f>_xlfn.XLOOKUP(B206,'Produtos &amp; Marcas'!B:B,'Produtos &amp; Marcas'!C:C)</f>
        <v>Margarina</v>
      </c>
      <c r="D206" t="str">
        <f>_xlfn.XLOOKUP(B206,'Produtos &amp; Marcas'!B:B,'Produtos &amp; Marcas'!D:D)</f>
        <v>Kg</v>
      </c>
      <c r="E206" s="3">
        <f>_xlfn.XLOOKUP(B206,'Produtos &amp; Marcas'!B:B,'Produtos &amp; Marcas'!E:E)</f>
        <v>0.5</v>
      </c>
      <c r="F206" s="8">
        <f t="shared" si="6"/>
        <v>14.98</v>
      </c>
      <c r="G206" t="str">
        <f>_xlfn.XLOOKUP(B206,'Produtos &amp; Marcas'!B:B,'Produtos &amp; Marcas'!F:F)</f>
        <v>Doriana</v>
      </c>
      <c r="H206" t="s">
        <v>27</v>
      </c>
      <c r="I206">
        <f>_xlfn.XLOOKUP(H206,'Base Mercado'!C:C,'Base Mercado'!A:A)</f>
        <v>2</v>
      </c>
      <c r="J206" s="8">
        <v>7.49</v>
      </c>
      <c r="L206" s="8">
        <f t="shared" si="7"/>
        <v>7.49</v>
      </c>
      <c r="M206" s="13"/>
    </row>
    <row r="207" spans="1:13" x14ac:dyDescent="0.3">
      <c r="A207" s="3">
        <v>28</v>
      </c>
      <c r="B207" t="str">
        <f>_xlfn.XLOOKUP(A207,'Produtos &amp; Marcas'!A:A,'Produtos &amp; Marcas'!B:B)</f>
        <v>Margarina | Doriana | 0,5 | Kg</v>
      </c>
      <c r="C207" t="str">
        <f>_xlfn.XLOOKUP(B207,'Produtos &amp; Marcas'!B:B,'Produtos &amp; Marcas'!C:C)</f>
        <v>Margarina</v>
      </c>
      <c r="D207" t="str">
        <f>_xlfn.XLOOKUP(B207,'Produtos &amp; Marcas'!B:B,'Produtos &amp; Marcas'!D:D)</f>
        <v>Kg</v>
      </c>
      <c r="E207" s="3">
        <f>_xlfn.XLOOKUP(B207,'Produtos &amp; Marcas'!B:B,'Produtos &amp; Marcas'!E:E)</f>
        <v>0.5</v>
      </c>
      <c r="F207" s="8">
        <f t="shared" si="6"/>
        <v>14.98</v>
      </c>
      <c r="G207" t="str">
        <f>_xlfn.XLOOKUP(B207,'Produtos &amp; Marcas'!B:B,'Produtos &amp; Marcas'!F:F)</f>
        <v>Doriana</v>
      </c>
      <c r="H207" t="s">
        <v>26</v>
      </c>
      <c r="I207">
        <f>_xlfn.XLOOKUP(H207,'Base Mercado'!C:C,'Base Mercado'!A:A)</f>
        <v>3</v>
      </c>
      <c r="J207" s="8">
        <v>7.49</v>
      </c>
      <c r="L207" s="8">
        <f t="shared" si="7"/>
        <v>7.49</v>
      </c>
      <c r="M207" s="13"/>
    </row>
    <row r="208" spans="1:13" x14ac:dyDescent="0.3">
      <c r="A208" s="3">
        <v>28</v>
      </c>
      <c r="B208" t="str">
        <f>_xlfn.XLOOKUP(A208,'Produtos &amp; Marcas'!A:A,'Produtos &amp; Marcas'!B:B)</f>
        <v>Margarina | Doriana | 0,5 | Kg</v>
      </c>
      <c r="C208" t="str">
        <f>_xlfn.XLOOKUP(B208,'Produtos &amp; Marcas'!B:B,'Produtos &amp; Marcas'!C:C)</f>
        <v>Margarina</v>
      </c>
      <c r="D208" t="str">
        <f>_xlfn.XLOOKUP(B208,'Produtos &amp; Marcas'!B:B,'Produtos &amp; Marcas'!D:D)</f>
        <v>Kg</v>
      </c>
      <c r="E208" s="3">
        <f>_xlfn.XLOOKUP(B208,'Produtos &amp; Marcas'!B:B,'Produtos &amp; Marcas'!E:E)</f>
        <v>0.5</v>
      </c>
      <c r="F208" s="8">
        <f t="shared" si="6"/>
        <v>16.98</v>
      </c>
      <c r="G208" t="str">
        <f>_xlfn.XLOOKUP(B208,'Produtos &amp; Marcas'!B:B,'Produtos &amp; Marcas'!F:F)</f>
        <v>Doriana</v>
      </c>
      <c r="H208" t="s">
        <v>28</v>
      </c>
      <c r="I208">
        <f>_xlfn.XLOOKUP(H208,'Base Mercado'!C:C,'Base Mercado'!A:A)</f>
        <v>4</v>
      </c>
      <c r="J208" s="8">
        <v>8.49</v>
      </c>
      <c r="L208" s="8">
        <f t="shared" si="7"/>
        <v>8.49</v>
      </c>
      <c r="M208" s="13"/>
    </row>
    <row r="209" spans="1:13" x14ac:dyDescent="0.3">
      <c r="A209" s="3">
        <v>28</v>
      </c>
      <c r="B209" t="str">
        <f>_xlfn.XLOOKUP(A209,'Produtos &amp; Marcas'!A:A,'Produtos &amp; Marcas'!B:B)</f>
        <v>Margarina | Doriana | 0,5 | Kg</v>
      </c>
      <c r="C209" t="str">
        <f>_xlfn.XLOOKUP(B209,'Produtos &amp; Marcas'!B:B,'Produtos &amp; Marcas'!C:C)</f>
        <v>Margarina</v>
      </c>
      <c r="D209" t="str">
        <f>_xlfn.XLOOKUP(B209,'Produtos &amp; Marcas'!B:B,'Produtos &amp; Marcas'!D:D)</f>
        <v>Kg</v>
      </c>
      <c r="E209" s="3">
        <f>_xlfn.XLOOKUP(B209,'Produtos &amp; Marcas'!B:B,'Produtos &amp; Marcas'!E:E)</f>
        <v>0.5</v>
      </c>
      <c r="F209" s="8">
        <f t="shared" si="6"/>
        <v>16.98</v>
      </c>
      <c r="G209" t="str">
        <f>_xlfn.XLOOKUP(B209,'Produtos &amp; Marcas'!B:B,'Produtos &amp; Marcas'!F:F)</f>
        <v>Doriana</v>
      </c>
      <c r="H209" t="s">
        <v>29</v>
      </c>
      <c r="I209">
        <f>_xlfn.XLOOKUP(H209,'Base Mercado'!C:C,'Base Mercado'!A:A)</f>
        <v>5</v>
      </c>
      <c r="J209" s="8">
        <v>8.49</v>
      </c>
      <c r="L209" s="8">
        <f t="shared" si="7"/>
        <v>8.49</v>
      </c>
      <c r="M209" s="13"/>
    </row>
    <row r="210" spans="1:13" x14ac:dyDescent="0.3">
      <c r="A210" s="3">
        <v>28</v>
      </c>
      <c r="B210" t="str">
        <f>_xlfn.XLOOKUP(A210,'Produtos &amp; Marcas'!A:A,'Produtos &amp; Marcas'!B:B)</f>
        <v>Margarina | Doriana | 0,5 | Kg</v>
      </c>
      <c r="C210" t="str">
        <f>_xlfn.XLOOKUP(B210,'Produtos &amp; Marcas'!B:B,'Produtos &amp; Marcas'!C:C)</f>
        <v>Margarina</v>
      </c>
      <c r="D210" t="str">
        <f>_xlfn.XLOOKUP(B210,'Produtos &amp; Marcas'!B:B,'Produtos &amp; Marcas'!D:D)</f>
        <v>Kg</v>
      </c>
      <c r="E210" s="3">
        <f>_xlfn.XLOOKUP(B210,'Produtos &amp; Marcas'!B:B,'Produtos &amp; Marcas'!E:E)</f>
        <v>0.5</v>
      </c>
      <c r="F210" s="8">
        <f t="shared" si="6"/>
        <v>18.98</v>
      </c>
      <c r="G210" t="str">
        <f>_xlfn.XLOOKUP(B210,'Produtos &amp; Marcas'!B:B,'Produtos &amp; Marcas'!F:F)</f>
        <v>Doriana</v>
      </c>
      <c r="H210" t="s">
        <v>30</v>
      </c>
      <c r="I210">
        <f>_xlfn.XLOOKUP(H210,'Base Mercado'!C:C,'Base Mercado'!A:A)</f>
        <v>6</v>
      </c>
      <c r="J210" s="8">
        <v>9.49</v>
      </c>
      <c r="L210" s="8">
        <f t="shared" si="7"/>
        <v>9.49</v>
      </c>
      <c r="M210" s="13"/>
    </row>
    <row r="211" spans="1:13" x14ac:dyDescent="0.3">
      <c r="A211" s="3">
        <v>28</v>
      </c>
      <c r="B211" t="str">
        <f>_xlfn.XLOOKUP(A211,'Produtos &amp; Marcas'!A:A,'Produtos &amp; Marcas'!B:B)</f>
        <v>Margarina | Doriana | 0,5 | Kg</v>
      </c>
      <c r="C211" t="str">
        <f>_xlfn.XLOOKUP(B211,'Produtos &amp; Marcas'!B:B,'Produtos &amp; Marcas'!C:C)</f>
        <v>Margarina</v>
      </c>
      <c r="D211" t="str">
        <f>_xlfn.XLOOKUP(B211,'Produtos &amp; Marcas'!B:B,'Produtos &amp; Marcas'!D:D)</f>
        <v>Kg</v>
      </c>
      <c r="E211" s="3">
        <f>_xlfn.XLOOKUP(B211,'Produtos &amp; Marcas'!B:B,'Produtos &amp; Marcas'!E:E)</f>
        <v>0.5</v>
      </c>
      <c r="F211" s="8">
        <f t="shared" si="6"/>
        <v>14.98</v>
      </c>
      <c r="G211" t="str">
        <f>_xlfn.XLOOKUP(B211,'Produtos &amp; Marcas'!B:B,'Produtos &amp; Marcas'!F:F)</f>
        <v>Doriana</v>
      </c>
      <c r="H211" t="s">
        <v>31</v>
      </c>
      <c r="I211">
        <f>_xlfn.XLOOKUP(H211,'Base Mercado'!C:C,'Base Mercado'!A:A)</f>
        <v>7</v>
      </c>
      <c r="J211" s="8">
        <v>7.49</v>
      </c>
      <c r="L211" s="8">
        <f t="shared" si="7"/>
        <v>7.49</v>
      </c>
      <c r="M211" s="13"/>
    </row>
    <row r="212" spans="1:13" x14ac:dyDescent="0.3">
      <c r="A212" s="3">
        <v>31</v>
      </c>
      <c r="B212" t="str">
        <f>_xlfn.XLOOKUP(A212,'Produtos &amp; Marcas'!A:A,'Produtos &amp; Marcas'!B:B)</f>
        <v>Óleo | Óleo Vitaliv | 1 | Unidade</v>
      </c>
      <c r="C212" t="str">
        <f>_xlfn.XLOOKUP(B212,'Produtos &amp; Marcas'!B:B,'Produtos &amp; Marcas'!C:C)</f>
        <v>Óleo</v>
      </c>
      <c r="D212" t="str">
        <f>_xlfn.XLOOKUP(B212,'Produtos &amp; Marcas'!B:B,'Produtos &amp; Marcas'!D:D)</f>
        <v>Unidade</v>
      </c>
      <c r="E212" s="3">
        <f>_xlfn.XLOOKUP(B212,'Produtos &amp; Marcas'!B:B,'Produtos &amp; Marcas'!E:E)</f>
        <v>1</v>
      </c>
      <c r="F212" s="8">
        <f t="shared" si="6"/>
        <v>9.85</v>
      </c>
      <c r="G212" t="str">
        <f>_xlfn.XLOOKUP(B212,'Produtos &amp; Marcas'!B:B,'Produtos &amp; Marcas'!F:F)</f>
        <v>Óleo Vitaliv</v>
      </c>
      <c r="H212" t="s">
        <v>25</v>
      </c>
      <c r="I212">
        <f>_xlfn.XLOOKUP(H212,'Base Mercado'!C:C,'Base Mercado'!A:A)</f>
        <v>1</v>
      </c>
      <c r="J212" s="8">
        <v>9.85</v>
      </c>
      <c r="L212" s="8">
        <f t="shared" si="7"/>
        <v>9.85</v>
      </c>
      <c r="M212" s="13"/>
    </row>
    <row r="213" spans="1:13" x14ac:dyDescent="0.3">
      <c r="A213" s="3">
        <v>31</v>
      </c>
      <c r="B213" t="str">
        <f>_xlfn.XLOOKUP(A213,'Produtos &amp; Marcas'!A:A,'Produtos &amp; Marcas'!B:B)</f>
        <v>Óleo | Óleo Vitaliv | 1 | Unidade</v>
      </c>
      <c r="C213" t="str">
        <f>_xlfn.XLOOKUP(B213,'Produtos &amp; Marcas'!B:B,'Produtos &amp; Marcas'!C:C)</f>
        <v>Óleo</v>
      </c>
      <c r="D213" t="str">
        <f>_xlfn.XLOOKUP(B213,'Produtos &amp; Marcas'!B:B,'Produtos &amp; Marcas'!D:D)</f>
        <v>Unidade</v>
      </c>
      <c r="E213" s="3">
        <f>_xlfn.XLOOKUP(B213,'Produtos &amp; Marcas'!B:B,'Produtos &amp; Marcas'!E:E)</f>
        <v>1</v>
      </c>
      <c r="F213" s="8">
        <f t="shared" si="6"/>
        <v>11.85</v>
      </c>
      <c r="G213" t="str">
        <f>_xlfn.XLOOKUP(B213,'Produtos &amp; Marcas'!B:B,'Produtos &amp; Marcas'!F:F)</f>
        <v>Óleo Vitaliv</v>
      </c>
      <c r="H213" t="s">
        <v>27</v>
      </c>
      <c r="I213">
        <f>_xlfn.XLOOKUP(H213,'Base Mercado'!C:C,'Base Mercado'!A:A)</f>
        <v>2</v>
      </c>
      <c r="J213" s="8">
        <v>11.85</v>
      </c>
      <c r="L213" s="8">
        <f t="shared" si="7"/>
        <v>11.85</v>
      </c>
      <c r="M213" s="13"/>
    </row>
    <row r="214" spans="1:13" x14ac:dyDescent="0.3">
      <c r="A214" s="3">
        <v>31</v>
      </c>
      <c r="B214" t="str">
        <f>_xlfn.XLOOKUP(A214,'Produtos &amp; Marcas'!A:A,'Produtos &amp; Marcas'!B:B)</f>
        <v>Óleo | Óleo Vitaliv | 1 | Unidade</v>
      </c>
      <c r="C214" t="str">
        <f>_xlfn.XLOOKUP(B214,'Produtos &amp; Marcas'!B:B,'Produtos &amp; Marcas'!C:C)</f>
        <v>Óleo</v>
      </c>
      <c r="D214" t="str">
        <f>_xlfn.XLOOKUP(B214,'Produtos &amp; Marcas'!B:B,'Produtos &amp; Marcas'!D:D)</f>
        <v>Unidade</v>
      </c>
      <c r="E214" s="3">
        <f>_xlfn.XLOOKUP(B214,'Produtos &amp; Marcas'!B:B,'Produtos &amp; Marcas'!E:E)</f>
        <v>1</v>
      </c>
      <c r="F214" s="8">
        <f t="shared" si="6"/>
        <v>8.85</v>
      </c>
      <c r="G214" t="str">
        <f>_xlfn.XLOOKUP(B214,'Produtos &amp; Marcas'!B:B,'Produtos &amp; Marcas'!F:F)</f>
        <v>Óleo Vitaliv</v>
      </c>
      <c r="H214" t="s">
        <v>26</v>
      </c>
      <c r="I214">
        <f>_xlfn.XLOOKUP(H214,'Base Mercado'!C:C,'Base Mercado'!A:A)</f>
        <v>3</v>
      </c>
      <c r="J214" s="8">
        <v>8.85</v>
      </c>
      <c r="L214" s="8">
        <f t="shared" si="7"/>
        <v>8.85</v>
      </c>
      <c r="M214" s="13"/>
    </row>
    <row r="215" spans="1:13" x14ac:dyDescent="0.3">
      <c r="A215" s="3">
        <v>31</v>
      </c>
      <c r="B215" t="str">
        <f>_xlfn.XLOOKUP(A215,'Produtos &amp; Marcas'!A:A,'Produtos &amp; Marcas'!B:B)</f>
        <v>Óleo | Óleo Vitaliv | 1 | Unidade</v>
      </c>
      <c r="C215" t="str">
        <f>_xlfn.XLOOKUP(B215,'Produtos &amp; Marcas'!B:B,'Produtos &amp; Marcas'!C:C)</f>
        <v>Óleo</v>
      </c>
      <c r="D215" t="str">
        <f>_xlfn.XLOOKUP(B215,'Produtos &amp; Marcas'!B:B,'Produtos &amp; Marcas'!D:D)</f>
        <v>Unidade</v>
      </c>
      <c r="E215" s="3">
        <f>_xlfn.XLOOKUP(B215,'Produtos &amp; Marcas'!B:B,'Produtos &amp; Marcas'!E:E)</f>
        <v>1</v>
      </c>
      <c r="F215" s="8">
        <f t="shared" si="6"/>
        <v>9.85</v>
      </c>
      <c r="G215" t="str">
        <f>_xlfn.XLOOKUP(B215,'Produtos &amp; Marcas'!B:B,'Produtos &amp; Marcas'!F:F)</f>
        <v>Óleo Vitaliv</v>
      </c>
      <c r="H215" t="s">
        <v>28</v>
      </c>
      <c r="I215">
        <f>_xlfn.XLOOKUP(H215,'Base Mercado'!C:C,'Base Mercado'!A:A)</f>
        <v>4</v>
      </c>
      <c r="J215" s="8">
        <v>9.85</v>
      </c>
      <c r="L215" s="8">
        <f t="shared" si="7"/>
        <v>9.85</v>
      </c>
      <c r="M215" s="13"/>
    </row>
    <row r="216" spans="1:13" x14ac:dyDescent="0.3">
      <c r="A216" s="3">
        <v>31</v>
      </c>
      <c r="B216" t="str">
        <f>_xlfn.XLOOKUP(A216,'Produtos &amp; Marcas'!A:A,'Produtos &amp; Marcas'!B:B)</f>
        <v>Óleo | Óleo Vitaliv | 1 | Unidade</v>
      </c>
      <c r="C216" t="str">
        <f>_xlfn.XLOOKUP(B216,'Produtos &amp; Marcas'!B:B,'Produtos &amp; Marcas'!C:C)</f>
        <v>Óleo</v>
      </c>
      <c r="D216" t="str">
        <f>_xlfn.XLOOKUP(B216,'Produtos &amp; Marcas'!B:B,'Produtos &amp; Marcas'!D:D)</f>
        <v>Unidade</v>
      </c>
      <c r="E216" s="3">
        <f>_xlfn.XLOOKUP(B216,'Produtos &amp; Marcas'!B:B,'Produtos &amp; Marcas'!E:E)</f>
        <v>1</v>
      </c>
      <c r="F216" s="8">
        <f t="shared" si="6"/>
        <v>11.85</v>
      </c>
      <c r="G216" t="str">
        <f>_xlfn.XLOOKUP(B216,'Produtos &amp; Marcas'!B:B,'Produtos &amp; Marcas'!F:F)</f>
        <v>Óleo Vitaliv</v>
      </c>
      <c r="H216" t="s">
        <v>29</v>
      </c>
      <c r="I216">
        <f>_xlfn.XLOOKUP(H216,'Base Mercado'!C:C,'Base Mercado'!A:A)</f>
        <v>5</v>
      </c>
      <c r="J216" s="8">
        <v>11.85</v>
      </c>
      <c r="L216" s="8">
        <f t="shared" si="7"/>
        <v>11.85</v>
      </c>
      <c r="M216" s="13"/>
    </row>
    <row r="217" spans="1:13" x14ac:dyDescent="0.3">
      <c r="A217" s="3">
        <v>31</v>
      </c>
      <c r="B217" t="str">
        <f>_xlfn.XLOOKUP(A217,'Produtos &amp; Marcas'!A:A,'Produtos &amp; Marcas'!B:B)</f>
        <v>Óleo | Óleo Vitaliv | 1 | Unidade</v>
      </c>
      <c r="C217" t="str">
        <f>_xlfn.XLOOKUP(B217,'Produtos &amp; Marcas'!B:B,'Produtos &amp; Marcas'!C:C)</f>
        <v>Óleo</v>
      </c>
      <c r="D217" t="str">
        <f>_xlfn.XLOOKUP(B217,'Produtos &amp; Marcas'!B:B,'Produtos &amp; Marcas'!D:D)</f>
        <v>Unidade</v>
      </c>
      <c r="E217" s="3">
        <f>_xlfn.XLOOKUP(B217,'Produtos &amp; Marcas'!B:B,'Produtos &amp; Marcas'!E:E)</f>
        <v>1</v>
      </c>
      <c r="F217" s="8">
        <f t="shared" si="6"/>
        <v>11.85</v>
      </c>
      <c r="G217" t="str">
        <f>_xlfn.XLOOKUP(B217,'Produtos &amp; Marcas'!B:B,'Produtos &amp; Marcas'!F:F)</f>
        <v>Óleo Vitaliv</v>
      </c>
      <c r="H217" t="s">
        <v>30</v>
      </c>
      <c r="I217">
        <f>_xlfn.XLOOKUP(H217,'Base Mercado'!C:C,'Base Mercado'!A:A)</f>
        <v>6</v>
      </c>
      <c r="J217" s="8">
        <v>11.85</v>
      </c>
      <c r="L217" s="8">
        <f t="shared" si="7"/>
        <v>11.85</v>
      </c>
      <c r="M217" s="13"/>
    </row>
    <row r="218" spans="1:13" x14ac:dyDescent="0.3">
      <c r="A218" s="3">
        <v>31</v>
      </c>
      <c r="B218" t="str">
        <f>_xlfn.XLOOKUP(A218,'Produtos &amp; Marcas'!A:A,'Produtos &amp; Marcas'!B:B)</f>
        <v>Óleo | Óleo Vitaliv | 1 | Unidade</v>
      </c>
      <c r="C218" t="str">
        <f>_xlfn.XLOOKUP(B218,'Produtos &amp; Marcas'!B:B,'Produtos &amp; Marcas'!C:C)</f>
        <v>Óleo</v>
      </c>
      <c r="D218" t="str">
        <f>_xlfn.XLOOKUP(B218,'Produtos &amp; Marcas'!B:B,'Produtos &amp; Marcas'!D:D)</f>
        <v>Unidade</v>
      </c>
      <c r="E218" s="3">
        <f>_xlfn.XLOOKUP(B218,'Produtos &amp; Marcas'!B:B,'Produtos &amp; Marcas'!E:E)</f>
        <v>1</v>
      </c>
      <c r="F218" s="8">
        <f t="shared" si="6"/>
        <v>9.85</v>
      </c>
      <c r="G218" t="str">
        <f>_xlfn.XLOOKUP(B218,'Produtos &amp; Marcas'!B:B,'Produtos &amp; Marcas'!F:F)</f>
        <v>Óleo Vitaliv</v>
      </c>
      <c r="H218" t="s">
        <v>31</v>
      </c>
      <c r="I218">
        <f>_xlfn.XLOOKUP(H218,'Base Mercado'!C:C,'Base Mercado'!A:A)</f>
        <v>7</v>
      </c>
      <c r="J218" s="8">
        <v>9.85</v>
      </c>
      <c r="L218" s="8">
        <f t="shared" si="7"/>
        <v>9.85</v>
      </c>
      <c r="M218" s="13"/>
    </row>
    <row r="219" spans="1:13" x14ac:dyDescent="0.3">
      <c r="A219" s="3">
        <v>33</v>
      </c>
      <c r="B219" t="str">
        <f>_xlfn.XLOOKUP(A219,'Produtos &amp; Marcas'!A:A,'Produtos &amp; Marcas'!B:B)</f>
        <v>Óleo | Óleo Liza | 1 | Unidade</v>
      </c>
      <c r="C219" t="str">
        <f>_xlfn.XLOOKUP(B219,'Produtos &amp; Marcas'!B:B,'Produtos &amp; Marcas'!C:C)</f>
        <v>Óleo</v>
      </c>
      <c r="D219" t="str">
        <f>_xlfn.XLOOKUP(B219,'Produtos &amp; Marcas'!B:B,'Produtos &amp; Marcas'!D:D)</f>
        <v>Unidade</v>
      </c>
      <c r="E219" s="3">
        <f>_xlfn.XLOOKUP(B219,'Produtos &amp; Marcas'!B:B,'Produtos &amp; Marcas'!E:E)</f>
        <v>1</v>
      </c>
      <c r="F219" s="8">
        <f t="shared" si="6"/>
        <v>8.99</v>
      </c>
      <c r="G219" t="str">
        <f>_xlfn.XLOOKUP(B219,'Produtos &amp; Marcas'!B:B,'Produtos &amp; Marcas'!F:F)</f>
        <v>Óleo Liza</v>
      </c>
      <c r="H219" t="s">
        <v>25</v>
      </c>
      <c r="I219">
        <f>_xlfn.XLOOKUP(H219,'Base Mercado'!C:C,'Base Mercado'!A:A)</f>
        <v>1</v>
      </c>
      <c r="J219" s="8">
        <v>8.99</v>
      </c>
      <c r="L219" s="8">
        <f t="shared" si="7"/>
        <v>8.99</v>
      </c>
      <c r="M219" s="13"/>
    </row>
    <row r="220" spans="1:13" x14ac:dyDescent="0.3">
      <c r="A220" s="3">
        <v>33</v>
      </c>
      <c r="B220" t="str">
        <f>_xlfn.XLOOKUP(A220,'Produtos &amp; Marcas'!A:A,'Produtos &amp; Marcas'!B:B)</f>
        <v>Óleo | Óleo Liza | 1 | Unidade</v>
      </c>
      <c r="C220" t="str">
        <f>_xlfn.XLOOKUP(B220,'Produtos &amp; Marcas'!B:B,'Produtos &amp; Marcas'!C:C)</f>
        <v>Óleo</v>
      </c>
      <c r="D220" t="str">
        <f>_xlfn.XLOOKUP(B220,'Produtos &amp; Marcas'!B:B,'Produtos &amp; Marcas'!D:D)</f>
        <v>Unidade</v>
      </c>
      <c r="E220" s="3">
        <f>_xlfn.XLOOKUP(B220,'Produtos &amp; Marcas'!B:B,'Produtos &amp; Marcas'!E:E)</f>
        <v>1</v>
      </c>
      <c r="F220" s="8">
        <f t="shared" si="6"/>
        <v>8.99</v>
      </c>
      <c r="G220" t="str">
        <f>_xlfn.XLOOKUP(B220,'Produtos &amp; Marcas'!B:B,'Produtos &amp; Marcas'!F:F)</f>
        <v>Óleo Liza</v>
      </c>
      <c r="H220" t="s">
        <v>27</v>
      </c>
      <c r="I220">
        <f>_xlfn.XLOOKUP(H220,'Base Mercado'!C:C,'Base Mercado'!A:A)</f>
        <v>2</v>
      </c>
      <c r="J220" s="8">
        <v>8.99</v>
      </c>
      <c r="L220" s="8">
        <f t="shared" si="7"/>
        <v>8.99</v>
      </c>
      <c r="M220" s="13"/>
    </row>
    <row r="221" spans="1:13" x14ac:dyDescent="0.3">
      <c r="A221" s="3">
        <v>33</v>
      </c>
      <c r="B221" t="str">
        <f>_xlfn.XLOOKUP(A221,'Produtos &amp; Marcas'!A:A,'Produtos &amp; Marcas'!B:B)</f>
        <v>Óleo | Óleo Liza | 1 | Unidade</v>
      </c>
      <c r="C221" t="str">
        <f>_xlfn.XLOOKUP(B221,'Produtos &amp; Marcas'!B:B,'Produtos &amp; Marcas'!C:C)</f>
        <v>Óleo</v>
      </c>
      <c r="D221" t="str">
        <f>_xlfn.XLOOKUP(B221,'Produtos &amp; Marcas'!B:B,'Produtos &amp; Marcas'!D:D)</f>
        <v>Unidade</v>
      </c>
      <c r="E221" s="3">
        <f>_xlfn.XLOOKUP(B221,'Produtos &amp; Marcas'!B:B,'Produtos &amp; Marcas'!E:E)</f>
        <v>1</v>
      </c>
      <c r="F221" s="8">
        <f t="shared" si="6"/>
        <v>10.99</v>
      </c>
      <c r="G221" t="str">
        <f>_xlfn.XLOOKUP(B221,'Produtos &amp; Marcas'!B:B,'Produtos &amp; Marcas'!F:F)</f>
        <v>Óleo Liza</v>
      </c>
      <c r="H221" t="s">
        <v>26</v>
      </c>
      <c r="I221">
        <f>_xlfn.XLOOKUP(H221,'Base Mercado'!C:C,'Base Mercado'!A:A)</f>
        <v>3</v>
      </c>
      <c r="J221" s="8">
        <v>10.99</v>
      </c>
      <c r="L221" s="8">
        <f t="shared" si="7"/>
        <v>10.99</v>
      </c>
      <c r="M221" s="13"/>
    </row>
    <row r="222" spans="1:13" x14ac:dyDescent="0.3">
      <c r="A222" s="3">
        <v>33</v>
      </c>
      <c r="B222" t="str">
        <f>_xlfn.XLOOKUP(A222,'Produtos &amp; Marcas'!A:A,'Produtos &amp; Marcas'!B:B)</f>
        <v>Óleo | Óleo Liza | 1 | Unidade</v>
      </c>
      <c r="C222" t="str">
        <f>_xlfn.XLOOKUP(B222,'Produtos &amp; Marcas'!B:B,'Produtos &amp; Marcas'!C:C)</f>
        <v>Óleo</v>
      </c>
      <c r="D222" t="str">
        <f>_xlfn.XLOOKUP(B222,'Produtos &amp; Marcas'!B:B,'Produtos &amp; Marcas'!D:D)</f>
        <v>Unidade</v>
      </c>
      <c r="E222" s="3">
        <f>_xlfn.XLOOKUP(B222,'Produtos &amp; Marcas'!B:B,'Produtos &amp; Marcas'!E:E)</f>
        <v>1</v>
      </c>
      <c r="F222" s="8">
        <f t="shared" si="6"/>
        <v>9.99</v>
      </c>
      <c r="G222" t="str">
        <f>_xlfn.XLOOKUP(B222,'Produtos &amp; Marcas'!B:B,'Produtos &amp; Marcas'!F:F)</f>
        <v>Óleo Liza</v>
      </c>
      <c r="H222" t="s">
        <v>28</v>
      </c>
      <c r="I222">
        <f>_xlfn.XLOOKUP(H222,'Base Mercado'!C:C,'Base Mercado'!A:A)</f>
        <v>4</v>
      </c>
      <c r="J222" s="8">
        <v>9.99</v>
      </c>
      <c r="K222" s="8">
        <v>9.84</v>
      </c>
      <c r="L222" s="8">
        <f t="shared" si="7"/>
        <v>9.84</v>
      </c>
      <c r="M222" s="13"/>
    </row>
    <row r="223" spans="1:13" x14ac:dyDescent="0.3">
      <c r="A223" s="3">
        <v>33</v>
      </c>
      <c r="B223" t="str">
        <f>_xlfn.XLOOKUP(A223,'Produtos &amp; Marcas'!A:A,'Produtos &amp; Marcas'!B:B)</f>
        <v>Óleo | Óleo Liza | 1 | Unidade</v>
      </c>
      <c r="C223" t="str">
        <f>_xlfn.XLOOKUP(B223,'Produtos &amp; Marcas'!B:B,'Produtos &amp; Marcas'!C:C)</f>
        <v>Óleo</v>
      </c>
      <c r="D223" t="str">
        <f>_xlfn.XLOOKUP(B223,'Produtos &amp; Marcas'!B:B,'Produtos &amp; Marcas'!D:D)</f>
        <v>Unidade</v>
      </c>
      <c r="E223" s="3">
        <f>_xlfn.XLOOKUP(B223,'Produtos &amp; Marcas'!B:B,'Produtos &amp; Marcas'!E:E)</f>
        <v>1</v>
      </c>
      <c r="F223" s="8">
        <f t="shared" si="6"/>
        <v>8.99</v>
      </c>
      <c r="G223" t="str">
        <f>_xlfn.XLOOKUP(B223,'Produtos &amp; Marcas'!B:B,'Produtos &amp; Marcas'!F:F)</f>
        <v>Óleo Liza</v>
      </c>
      <c r="H223" t="s">
        <v>29</v>
      </c>
      <c r="I223">
        <f>_xlfn.XLOOKUP(H223,'Base Mercado'!C:C,'Base Mercado'!A:A)</f>
        <v>5</v>
      </c>
      <c r="J223" s="8">
        <v>8.99</v>
      </c>
      <c r="K223" s="8">
        <v>8.84</v>
      </c>
      <c r="L223" s="8">
        <f t="shared" si="7"/>
        <v>8.84</v>
      </c>
      <c r="M223" s="13"/>
    </row>
    <row r="224" spans="1:13" x14ac:dyDescent="0.3">
      <c r="A224" s="3">
        <v>33</v>
      </c>
      <c r="B224" t="str">
        <f>_xlfn.XLOOKUP(A224,'Produtos &amp; Marcas'!A:A,'Produtos &amp; Marcas'!B:B)</f>
        <v>Óleo | Óleo Liza | 1 | Unidade</v>
      </c>
      <c r="C224" t="str">
        <f>_xlfn.XLOOKUP(B224,'Produtos &amp; Marcas'!B:B,'Produtos &amp; Marcas'!C:C)</f>
        <v>Óleo</v>
      </c>
      <c r="D224" t="str">
        <f>_xlfn.XLOOKUP(B224,'Produtos &amp; Marcas'!B:B,'Produtos &amp; Marcas'!D:D)</f>
        <v>Unidade</v>
      </c>
      <c r="E224" s="3">
        <f>_xlfn.XLOOKUP(B224,'Produtos &amp; Marcas'!B:B,'Produtos &amp; Marcas'!E:E)</f>
        <v>1</v>
      </c>
      <c r="F224" s="8">
        <f t="shared" si="6"/>
        <v>8.99</v>
      </c>
      <c r="G224" t="str">
        <f>_xlfn.XLOOKUP(B224,'Produtos &amp; Marcas'!B:B,'Produtos &amp; Marcas'!F:F)</f>
        <v>Óleo Liza</v>
      </c>
      <c r="H224" t="s">
        <v>30</v>
      </c>
      <c r="I224">
        <f>_xlfn.XLOOKUP(H224,'Base Mercado'!C:C,'Base Mercado'!A:A)</f>
        <v>6</v>
      </c>
      <c r="J224" s="8">
        <v>8.99</v>
      </c>
      <c r="K224" s="8">
        <v>8.84</v>
      </c>
      <c r="L224" s="8">
        <f t="shared" si="7"/>
        <v>8.84</v>
      </c>
      <c r="M224" s="13"/>
    </row>
    <row r="225" spans="1:13" x14ac:dyDescent="0.3">
      <c r="A225" s="3">
        <v>33</v>
      </c>
      <c r="B225" t="str">
        <f>_xlfn.XLOOKUP(A225,'Produtos &amp; Marcas'!A:A,'Produtos &amp; Marcas'!B:B)</f>
        <v>Óleo | Óleo Liza | 1 | Unidade</v>
      </c>
      <c r="C225" t="str">
        <f>_xlfn.XLOOKUP(B225,'Produtos &amp; Marcas'!B:B,'Produtos &amp; Marcas'!C:C)</f>
        <v>Óleo</v>
      </c>
      <c r="D225" t="str">
        <f>_xlfn.XLOOKUP(B225,'Produtos &amp; Marcas'!B:B,'Produtos &amp; Marcas'!D:D)</f>
        <v>Unidade</v>
      </c>
      <c r="E225" s="3">
        <f>_xlfn.XLOOKUP(B225,'Produtos &amp; Marcas'!B:B,'Produtos &amp; Marcas'!E:E)</f>
        <v>1</v>
      </c>
      <c r="F225" s="8">
        <f t="shared" si="6"/>
        <v>8.99</v>
      </c>
      <c r="G225" t="str">
        <f>_xlfn.XLOOKUP(B225,'Produtos &amp; Marcas'!B:B,'Produtos &amp; Marcas'!F:F)</f>
        <v>Óleo Liza</v>
      </c>
      <c r="H225" t="s">
        <v>31</v>
      </c>
      <c r="I225">
        <f>_xlfn.XLOOKUP(H225,'Base Mercado'!C:C,'Base Mercado'!A:A)</f>
        <v>7</v>
      </c>
      <c r="J225" s="8">
        <v>8.99</v>
      </c>
      <c r="K225" s="8">
        <v>8.84</v>
      </c>
      <c r="L225" s="8">
        <f t="shared" si="7"/>
        <v>8.84</v>
      </c>
      <c r="M225" s="13"/>
    </row>
    <row r="226" spans="1:13" x14ac:dyDescent="0.3">
      <c r="A226" s="3">
        <v>32</v>
      </c>
      <c r="B226" t="str">
        <f>_xlfn.XLOOKUP(A226,'Produtos &amp; Marcas'!A:A,'Produtos &amp; Marcas'!B:B)</f>
        <v>Óleo | Óleo Soya | 1 | Unidade</v>
      </c>
      <c r="C226" t="str">
        <f>_xlfn.XLOOKUP(B226,'Produtos &amp; Marcas'!B:B,'Produtos &amp; Marcas'!C:C)</f>
        <v>Óleo</v>
      </c>
      <c r="D226" t="str">
        <f>_xlfn.XLOOKUP(B226,'Produtos &amp; Marcas'!B:B,'Produtos &amp; Marcas'!D:D)</f>
        <v>Unidade</v>
      </c>
      <c r="E226" s="3">
        <f>_xlfn.XLOOKUP(B226,'Produtos &amp; Marcas'!B:B,'Produtos &amp; Marcas'!E:E)</f>
        <v>1</v>
      </c>
      <c r="F226" s="8">
        <f t="shared" si="6"/>
        <v>9.49</v>
      </c>
      <c r="G226" t="str">
        <f>_xlfn.XLOOKUP(B226,'Produtos &amp; Marcas'!B:B,'Produtos &amp; Marcas'!F:F)</f>
        <v>Óleo Soya</v>
      </c>
      <c r="H226" t="s">
        <v>25</v>
      </c>
      <c r="I226">
        <f>_xlfn.XLOOKUP(H226,'Base Mercado'!C:C,'Base Mercado'!A:A)</f>
        <v>1</v>
      </c>
      <c r="J226" s="8">
        <v>9.49</v>
      </c>
      <c r="K226" s="8">
        <v>9.34</v>
      </c>
      <c r="L226" s="8">
        <f t="shared" si="7"/>
        <v>9.34</v>
      </c>
      <c r="M226" s="13"/>
    </row>
    <row r="227" spans="1:13" x14ac:dyDescent="0.3">
      <c r="A227" s="3">
        <v>32</v>
      </c>
      <c r="B227" t="str">
        <f>_xlfn.XLOOKUP(A227,'Produtos &amp; Marcas'!A:A,'Produtos &amp; Marcas'!B:B)</f>
        <v>Óleo | Óleo Soya | 1 | Unidade</v>
      </c>
      <c r="C227" t="str">
        <f>_xlfn.XLOOKUP(B227,'Produtos &amp; Marcas'!B:B,'Produtos &amp; Marcas'!C:C)</f>
        <v>Óleo</v>
      </c>
      <c r="D227" t="str">
        <f>_xlfn.XLOOKUP(B227,'Produtos &amp; Marcas'!B:B,'Produtos &amp; Marcas'!D:D)</f>
        <v>Unidade</v>
      </c>
      <c r="E227" s="3">
        <f>_xlfn.XLOOKUP(B227,'Produtos &amp; Marcas'!B:B,'Produtos &amp; Marcas'!E:E)</f>
        <v>1</v>
      </c>
      <c r="F227" s="8">
        <f t="shared" si="6"/>
        <v>9.49</v>
      </c>
      <c r="G227" t="str">
        <f>_xlfn.XLOOKUP(B227,'Produtos &amp; Marcas'!B:B,'Produtos &amp; Marcas'!F:F)</f>
        <v>Óleo Soya</v>
      </c>
      <c r="H227" t="s">
        <v>27</v>
      </c>
      <c r="I227">
        <f>_xlfn.XLOOKUP(H227,'Base Mercado'!C:C,'Base Mercado'!A:A)</f>
        <v>2</v>
      </c>
      <c r="J227" s="8">
        <v>9.49</v>
      </c>
      <c r="K227" s="8">
        <v>9.34</v>
      </c>
      <c r="L227" s="8">
        <f t="shared" si="7"/>
        <v>9.34</v>
      </c>
      <c r="M227" s="13"/>
    </row>
    <row r="228" spans="1:13" x14ac:dyDescent="0.3">
      <c r="A228" s="3">
        <v>32</v>
      </c>
      <c r="B228" t="str">
        <f>_xlfn.XLOOKUP(A228,'Produtos &amp; Marcas'!A:A,'Produtos &amp; Marcas'!B:B)</f>
        <v>Óleo | Óleo Soya | 1 | Unidade</v>
      </c>
      <c r="C228" t="str">
        <f>_xlfn.XLOOKUP(B228,'Produtos &amp; Marcas'!B:B,'Produtos &amp; Marcas'!C:C)</f>
        <v>Óleo</v>
      </c>
      <c r="D228" t="str">
        <f>_xlfn.XLOOKUP(B228,'Produtos &amp; Marcas'!B:B,'Produtos &amp; Marcas'!D:D)</f>
        <v>Unidade</v>
      </c>
      <c r="E228" s="3">
        <f>_xlfn.XLOOKUP(B228,'Produtos &amp; Marcas'!B:B,'Produtos &amp; Marcas'!E:E)</f>
        <v>1</v>
      </c>
      <c r="F228" s="8">
        <f t="shared" si="6"/>
        <v>8.49</v>
      </c>
      <c r="G228" t="str">
        <f>_xlfn.XLOOKUP(B228,'Produtos &amp; Marcas'!B:B,'Produtos &amp; Marcas'!F:F)</f>
        <v>Óleo Soya</v>
      </c>
      <c r="H228" t="s">
        <v>26</v>
      </c>
      <c r="I228">
        <f>_xlfn.XLOOKUP(H228,'Base Mercado'!C:C,'Base Mercado'!A:A)</f>
        <v>3</v>
      </c>
      <c r="J228" s="8">
        <v>8.49</v>
      </c>
      <c r="L228" s="8">
        <f t="shared" si="7"/>
        <v>8.49</v>
      </c>
      <c r="M228" s="13"/>
    </row>
    <row r="229" spans="1:13" x14ac:dyDescent="0.3">
      <c r="A229" s="3">
        <v>32</v>
      </c>
      <c r="B229" t="str">
        <f>_xlfn.XLOOKUP(A229,'Produtos &amp; Marcas'!A:A,'Produtos &amp; Marcas'!B:B)</f>
        <v>Óleo | Óleo Soya | 1 | Unidade</v>
      </c>
      <c r="C229" t="str">
        <f>_xlfn.XLOOKUP(B229,'Produtos &amp; Marcas'!B:B,'Produtos &amp; Marcas'!C:C)</f>
        <v>Óleo</v>
      </c>
      <c r="D229" t="str">
        <f>_xlfn.XLOOKUP(B229,'Produtos &amp; Marcas'!B:B,'Produtos &amp; Marcas'!D:D)</f>
        <v>Unidade</v>
      </c>
      <c r="E229" s="3">
        <f>_xlfn.XLOOKUP(B229,'Produtos &amp; Marcas'!B:B,'Produtos &amp; Marcas'!E:E)</f>
        <v>1</v>
      </c>
      <c r="F229" s="8">
        <f t="shared" si="6"/>
        <v>10.49</v>
      </c>
      <c r="G229" t="str">
        <f>_xlfn.XLOOKUP(B229,'Produtos &amp; Marcas'!B:B,'Produtos &amp; Marcas'!F:F)</f>
        <v>Óleo Soya</v>
      </c>
      <c r="H229" t="s">
        <v>28</v>
      </c>
      <c r="I229">
        <f>_xlfn.XLOOKUP(H229,'Base Mercado'!C:C,'Base Mercado'!A:A)</f>
        <v>4</v>
      </c>
      <c r="J229" s="8">
        <v>10.49</v>
      </c>
      <c r="L229" s="8">
        <f t="shared" si="7"/>
        <v>10.49</v>
      </c>
      <c r="M229" s="13"/>
    </row>
    <row r="230" spans="1:13" x14ac:dyDescent="0.3">
      <c r="A230" s="3">
        <v>32</v>
      </c>
      <c r="B230" t="str">
        <f>_xlfn.XLOOKUP(A230,'Produtos &amp; Marcas'!A:A,'Produtos &amp; Marcas'!B:B)</f>
        <v>Óleo | Óleo Soya | 1 | Unidade</v>
      </c>
      <c r="C230" t="str">
        <f>_xlfn.XLOOKUP(B230,'Produtos &amp; Marcas'!B:B,'Produtos &amp; Marcas'!C:C)</f>
        <v>Óleo</v>
      </c>
      <c r="D230" t="str">
        <f>_xlfn.XLOOKUP(B230,'Produtos &amp; Marcas'!B:B,'Produtos &amp; Marcas'!D:D)</f>
        <v>Unidade</v>
      </c>
      <c r="E230" s="3">
        <f>_xlfn.XLOOKUP(B230,'Produtos &amp; Marcas'!B:B,'Produtos &amp; Marcas'!E:E)</f>
        <v>1</v>
      </c>
      <c r="F230" s="8">
        <f t="shared" si="6"/>
        <v>11.49</v>
      </c>
      <c r="G230" t="str">
        <f>_xlfn.XLOOKUP(B230,'Produtos &amp; Marcas'!B:B,'Produtos &amp; Marcas'!F:F)</f>
        <v>Óleo Soya</v>
      </c>
      <c r="H230" t="s">
        <v>29</v>
      </c>
      <c r="I230">
        <f>_xlfn.XLOOKUP(H230,'Base Mercado'!C:C,'Base Mercado'!A:A)</f>
        <v>5</v>
      </c>
      <c r="J230" s="8">
        <v>11.49</v>
      </c>
      <c r="L230" s="8">
        <f t="shared" si="7"/>
        <v>11.49</v>
      </c>
      <c r="M230" s="13"/>
    </row>
    <row r="231" spans="1:13" x14ac:dyDescent="0.3">
      <c r="A231" s="3">
        <v>32</v>
      </c>
      <c r="B231" t="str">
        <f>_xlfn.XLOOKUP(A231,'Produtos &amp; Marcas'!A:A,'Produtos &amp; Marcas'!B:B)</f>
        <v>Óleo | Óleo Soya | 1 | Unidade</v>
      </c>
      <c r="C231" t="str">
        <f>_xlfn.XLOOKUP(B231,'Produtos &amp; Marcas'!B:B,'Produtos &amp; Marcas'!C:C)</f>
        <v>Óleo</v>
      </c>
      <c r="D231" t="str">
        <f>_xlfn.XLOOKUP(B231,'Produtos &amp; Marcas'!B:B,'Produtos &amp; Marcas'!D:D)</f>
        <v>Unidade</v>
      </c>
      <c r="E231" s="3">
        <f>_xlfn.XLOOKUP(B231,'Produtos &amp; Marcas'!B:B,'Produtos &amp; Marcas'!E:E)</f>
        <v>1</v>
      </c>
      <c r="F231" s="8">
        <f t="shared" si="6"/>
        <v>9.49</v>
      </c>
      <c r="G231" t="str">
        <f>_xlfn.XLOOKUP(B231,'Produtos &amp; Marcas'!B:B,'Produtos &amp; Marcas'!F:F)</f>
        <v>Óleo Soya</v>
      </c>
      <c r="H231" t="s">
        <v>30</v>
      </c>
      <c r="I231">
        <f>_xlfn.XLOOKUP(H231,'Base Mercado'!C:C,'Base Mercado'!A:A)</f>
        <v>6</v>
      </c>
      <c r="J231" s="8">
        <v>9.49</v>
      </c>
      <c r="L231" s="8">
        <f t="shared" si="7"/>
        <v>9.49</v>
      </c>
      <c r="M231" s="13"/>
    </row>
    <row r="232" spans="1:13" x14ac:dyDescent="0.3">
      <c r="A232" s="3">
        <v>32</v>
      </c>
      <c r="B232" t="str">
        <f>_xlfn.XLOOKUP(A232,'Produtos &amp; Marcas'!A:A,'Produtos &amp; Marcas'!B:B)</f>
        <v>Óleo | Óleo Soya | 1 | Unidade</v>
      </c>
      <c r="C232" t="str">
        <f>_xlfn.XLOOKUP(B232,'Produtos &amp; Marcas'!B:B,'Produtos &amp; Marcas'!C:C)</f>
        <v>Óleo</v>
      </c>
      <c r="D232" t="str">
        <f>_xlfn.XLOOKUP(B232,'Produtos &amp; Marcas'!B:B,'Produtos &amp; Marcas'!D:D)</f>
        <v>Unidade</v>
      </c>
      <c r="E232" s="3">
        <f>_xlfn.XLOOKUP(B232,'Produtos &amp; Marcas'!B:B,'Produtos &amp; Marcas'!E:E)</f>
        <v>1</v>
      </c>
      <c r="F232" s="8">
        <f t="shared" si="6"/>
        <v>9.49</v>
      </c>
      <c r="G232" t="str">
        <f>_xlfn.XLOOKUP(B232,'Produtos &amp; Marcas'!B:B,'Produtos &amp; Marcas'!F:F)</f>
        <v>Óleo Soya</v>
      </c>
      <c r="H232" t="s">
        <v>31</v>
      </c>
      <c r="I232">
        <f>_xlfn.XLOOKUP(H232,'Base Mercado'!C:C,'Base Mercado'!A:A)</f>
        <v>7</v>
      </c>
      <c r="J232" s="8">
        <v>9.49</v>
      </c>
      <c r="L232" s="8">
        <f t="shared" si="7"/>
        <v>9.49</v>
      </c>
      <c r="M232" s="13"/>
    </row>
    <row r="233" spans="1:13" x14ac:dyDescent="0.3">
      <c r="A233" s="3">
        <v>36</v>
      </c>
      <c r="B233" t="str">
        <f>_xlfn.XLOOKUP(A233,'Produtos &amp; Marcas'!A:A,'Produtos &amp; Marcas'!B:B)</f>
        <v>Pães | Pão de Banha | 1 | Kg</v>
      </c>
      <c r="C233" t="str">
        <f>_xlfn.XLOOKUP(B233,'Produtos &amp; Marcas'!B:B,'Produtos &amp; Marcas'!C:C)</f>
        <v>Pães</v>
      </c>
      <c r="D233" t="str">
        <f>_xlfn.XLOOKUP(B233,'Produtos &amp; Marcas'!B:B,'Produtos &amp; Marcas'!D:D)</f>
        <v>Kg</v>
      </c>
      <c r="E233" s="3">
        <f>_xlfn.XLOOKUP(B233,'Produtos &amp; Marcas'!B:B,'Produtos &amp; Marcas'!E:E)</f>
        <v>1</v>
      </c>
      <c r="F233" s="8">
        <f t="shared" si="6"/>
        <v>39.9</v>
      </c>
      <c r="G233" t="str">
        <f>_xlfn.XLOOKUP(B233,'Produtos &amp; Marcas'!B:B,'Produtos &amp; Marcas'!F:F)</f>
        <v>Pão de Banha</v>
      </c>
      <c r="H233" t="s">
        <v>25</v>
      </c>
      <c r="I233">
        <f>_xlfn.XLOOKUP(H233,'Base Mercado'!C:C,'Base Mercado'!A:A)</f>
        <v>1</v>
      </c>
      <c r="J233" s="8">
        <v>39.9</v>
      </c>
      <c r="L233" s="8">
        <f t="shared" si="7"/>
        <v>39.9</v>
      </c>
      <c r="M233" s="13"/>
    </row>
    <row r="234" spans="1:13" x14ac:dyDescent="0.3">
      <c r="A234" s="3">
        <v>36</v>
      </c>
      <c r="B234" t="str">
        <f>_xlfn.XLOOKUP(A234,'Produtos &amp; Marcas'!A:A,'Produtos &amp; Marcas'!B:B)</f>
        <v>Pães | Pão de Banha | 1 | Kg</v>
      </c>
      <c r="C234" t="str">
        <f>_xlfn.XLOOKUP(B234,'Produtos &amp; Marcas'!B:B,'Produtos &amp; Marcas'!C:C)</f>
        <v>Pães</v>
      </c>
      <c r="D234" t="str">
        <f>_xlfn.XLOOKUP(B234,'Produtos &amp; Marcas'!B:B,'Produtos &amp; Marcas'!D:D)</f>
        <v>Kg</v>
      </c>
      <c r="E234" s="3">
        <f>_xlfn.XLOOKUP(B234,'Produtos &amp; Marcas'!B:B,'Produtos &amp; Marcas'!E:E)</f>
        <v>1</v>
      </c>
      <c r="F234" s="8">
        <f t="shared" si="6"/>
        <v>40.9</v>
      </c>
      <c r="G234" t="str">
        <f>_xlfn.XLOOKUP(B234,'Produtos &amp; Marcas'!B:B,'Produtos &amp; Marcas'!F:F)</f>
        <v>Pão de Banha</v>
      </c>
      <c r="H234" t="s">
        <v>27</v>
      </c>
      <c r="I234">
        <f>_xlfn.XLOOKUP(H234,'Base Mercado'!C:C,'Base Mercado'!A:A)</f>
        <v>2</v>
      </c>
      <c r="J234" s="8">
        <v>40.9</v>
      </c>
      <c r="L234" s="8">
        <f t="shared" si="7"/>
        <v>40.9</v>
      </c>
      <c r="M234" s="13"/>
    </row>
    <row r="235" spans="1:13" x14ac:dyDescent="0.3">
      <c r="A235" s="3">
        <v>36</v>
      </c>
      <c r="B235" t="str">
        <f>_xlfn.XLOOKUP(A235,'Produtos &amp; Marcas'!A:A,'Produtos &amp; Marcas'!B:B)</f>
        <v>Pães | Pão de Banha | 1 | Kg</v>
      </c>
      <c r="C235" t="str">
        <f>_xlfn.XLOOKUP(B235,'Produtos &amp; Marcas'!B:B,'Produtos &amp; Marcas'!C:C)</f>
        <v>Pães</v>
      </c>
      <c r="D235" t="str">
        <f>_xlfn.XLOOKUP(B235,'Produtos &amp; Marcas'!B:B,'Produtos &amp; Marcas'!D:D)</f>
        <v>Kg</v>
      </c>
      <c r="E235" s="3">
        <f>_xlfn.XLOOKUP(B235,'Produtos &amp; Marcas'!B:B,'Produtos &amp; Marcas'!E:E)</f>
        <v>1</v>
      </c>
      <c r="F235" s="8">
        <f t="shared" si="6"/>
        <v>41.9</v>
      </c>
      <c r="G235" t="str">
        <f>_xlfn.XLOOKUP(B235,'Produtos &amp; Marcas'!B:B,'Produtos &amp; Marcas'!F:F)</f>
        <v>Pão de Banha</v>
      </c>
      <c r="H235" t="s">
        <v>26</v>
      </c>
      <c r="I235">
        <f>_xlfn.XLOOKUP(H235,'Base Mercado'!C:C,'Base Mercado'!A:A)</f>
        <v>3</v>
      </c>
      <c r="J235" s="8">
        <v>41.9</v>
      </c>
      <c r="L235" s="8">
        <f t="shared" si="7"/>
        <v>41.9</v>
      </c>
      <c r="M235" s="13"/>
    </row>
    <row r="236" spans="1:13" x14ac:dyDescent="0.3">
      <c r="A236" s="3">
        <v>36</v>
      </c>
      <c r="B236" t="str">
        <f>_xlfn.XLOOKUP(A236,'Produtos &amp; Marcas'!A:A,'Produtos &amp; Marcas'!B:B)</f>
        <v>Pães | Pão de Banha | 1 | Kg</v>
      </c>
      <c r="C236" t="str">
        <f>_xlfn.XLOOKUP(B236,'Produtos &amp; Marcas'!B:B,'Produtos &amp; Marcas'!C:C)</f>
        <v>Pães</v>
      </c>
      <c r="D236" t="str">
        <f>_xlfn.XLOOKUP(B236,'Produtos &amp; Marcas'!B:B,'Produtos &amp; Marcas'!D:D)</f>
        <v>Kg</v>
      </c>
      <c r="E236" s="3">
        <f>_xlfn.XLOOKUP(B236,'Produtos &amp; Marcas'!B:B,'Produtos &amp; Marcas'!E:E)</f>
        <v>1</v>
      </c>
      <c r="F236" s="8">
        <f t="shared" si="6"/>
        <v>38.9</v>
      </c>
      <c r="G236" t="str">
        <f>_xlfn.XLOOKUP(B236,'Produtos &amp; Marcas'!B:B,'Produtos &amp; Marcas'!F:F)</f>
        <v>Pão de Banha</v>
      </c>
      <c r="H236" t="s">
        <v>28</v>
      </c>
      <c r="I236">
        <f>_xlfn.XLOOKUP(H236,'Base Mercado'!C:C,'Base Mercado'!A:A)</f>
        <v>4</v>
      </c>
      <c r="J236" s="8">
        <v>38.9</v>
      </c>
      <c r="L236" s="8">
        <f t="shared" si="7"/>
        <v>38.9</v>
      </c>
      <c r="M236" s="13"/>
    </row>
    <row r="237" spans="1:13" x14ac:dyDescent="0.3">
      <c r="A237" s="3">
        <v>36</v>
      </c>
      <c r="B237" t="str">
        <f>_xlfn.XLOOKUP(A237,'Produtos &amp; Marcas'!A:A,'Produtos &amp; Marcas'!B:B)</f>
        <v>Pães | Pão de Banha | 1 | Kg</v>
      </c>
      <c r="C237" t="str">
        <f>_xlfn.XLOOKUP(B237,'Produtos &amp; Marcas'!B:B,'Produtos &amp; Marcas'!C:C)</f>
        <v>Pães</v>
      </c>
      <c r="D237" t="str">
        <f>_xlfn.XLOOKUP(B237,'Produtos &amp; Marcas'!B:B,'Produtos &amp; Marcas'!D:D)</f>
        <v>Kg</v>
      </c>
      <c r="E237" s="3">
        <f>_xlfn.XLOOKUP(B237,'Produtos &amp; Marcas'!B:B,'Produtos &amp; Marcas'!E:E)</f>
        <v>1</v>
      </c>
      <c r="F237" s="8">
        <f t="shared" si="6"/>
        <v>41.9</v>
      </c>
      <c r="G237" t="str">
        <f>_xlfn.XLOOKUP(B237,'Produtos &amp; Marcas'!B:B,'Produtos &amp; Marcas'!F:F)</f>
        <v>Pão de Banha</v>
      </c>
      <c r="H237" t="s">
        <v>29</v>
      </c>
      <c r="I237">
        <f>_xlfn.XLOOKUP(H237,'Base Mercado'!C:C,'Base Mercado'!A:A)</f>
        <v>5</v>
      </c>
      <c r="J237" s="8">
        <v>41.9</v>
      </c>
      <c r="L237" s="8">
        <f t="shared" si="7"/>
        <v>41.9</v>
      </c>
      <c r="M237" s="13"/>
    </row>
    <row r="238" spans="1:13" x14ac:dyDescent="0.3">
      <c r="A238" s="3">
        <v>36</v>
      </c>
      <c r="B238" t="str">
        <f>_xlfn.XLOOKUP(A238,'Produtos &amp; Marcas'!A:A,'Produtos &amp; Marcas'!B:B)</f>
        <v>Pães | Pão de Banha | 1 | Kg</v>
      </c>
      <c r="C238" t="str">
        <f>_xlfn.XLOOKUP(B238,'Produtos &amp; Marcas'!B:B,'Produtos &amp; Marcas'!C:C)</f>
        <v>Pães</v>
      </c>
      <c r="D238" t="str">
        <f>_xlfn.XLOOKUP(B238,'Produtos &amp; Marcas'!B:B,'Produtos &amp; Marcas'!D:D)</f>
        <v>Kg</v>
      </c>
      <c r="E238" s="3">
        <f>_xlfn.XLOOKUP(B238,'Produtos &amp; Marcas'!B:B,'Produtos &amp; Marcas'!E:E)</f>
        <v>1</v>
      </c>
      <c r="F238" s="8">
        <f t="shared" si="6"/>
        <v>40.9</v>
      </c>
      <c r="G238" t="str">
        <f>_xlfn.XLOOKUP(B238,'Produtos &amp; Marcas'!B:B,'Produtos &amp; Marcas'!F:F)</f>
        <v>Pão de Banha</v>
      </c>
      <c r="H238" t="s">
        <v>30</v>
      </c>
      <c r="I238">
        <f>_xlfn.XLOOKUP(H238,'Base Mercado'!C:C,'Base Mercado'!A:A)</f>
        <v>6</v>
      </c>
      <c r="J238" s="8">
        <v>40.9</v>
      </c>
      <c r="L238" s="8">
        <f t="shared" si="7"/>
        <v>40.9</v>
      </c>
      <c r="M238" s="13"/>
    </row>
    <row r="239" spans="1:13" x14ac:dyDescent="0.3">
      <c r="A239" s="3">
        <v>36</v>
      </c>
      <c r="B239" t="str">
        <f>_xlfn.XLOOKUP(A239,'Produtos &amp; Marcas'!A:A,'Produtos &amp; Marcas'!B:B)</f>
        <v>Pães | Pão de Banha | 1 | Kg</v>
      </c>
      <c r="C239" t="str">
        <f>_xlfn.XLOOKUP(B239,'Produtos &amp; Marcas'!B:B,'Produtos &amp; Marcas'!C:C)</f>
        <v>Pães</v>
      </c>
      <c r="D239" t="str">
        <f>_xlfn.XLOOKUP(B239,'Produtos &amp; Marcas'!B:B,'Produtos &amp; Marcas'!D:D)</f>
        <v>Kg</v>
      </c>
      <c r="E239" s="3">
        <f>_xlfn.XLOOKUP(B239,'Produtos &amp; Marcas'!B:B,'Produtos &amp; Marcas'!E:E)</f>
        <v>1</v>
      </c>
      <c r="F239" s="8">
        <f t="shared" si="6"/>
        <v>41.9</v>
      </c>
      <c r="G239" t="str">
        <f>_xlfn.XLOOKUP(B239,'Produtos &amp; Marcas'!B:B,'Produtos &amp; Marcas'!F:F)</f>
        <v>Pão de Banha</v>
      </c>
      <c r="H239" t="s">
        <v>31</v>
      </c>
      <c r="I239">
        <f>_xlfn.XLOOKUP(H239,'Base Mercado'!C:C,'Base Mercado'!A:A)</f>
        <v>7</v>
      </c>
      <c r="J239" s="8">
        <v>41.9</v>
      </c>
      <c r="L239" s="8">
        <f t="shared" si="7"/>
        <v>41.9</v>
      </c>
      <c r="M239" s="13"/>
    </row>
    <row r="240" spans="1:13" x14ac:dyDescent="0.3">
      <c r="A240" s="3">
        <v>35</v>
      </c>
      <c r="B240" t="str">
        <f>_xlfn.XLOOKUP(A240,'Produtos &amp; Marcas'!A:A,'Produtos &amp; Marcas'!B:B)</f>
        <v>Pães | Baguete | 1 | Kg</v>
      </c>
      <c r="C240" t="str">
        <f>_xlfn.XLOOKUP(B240,'Produtos &amp; Marcas'!B:B,'Produtos &amp; Marcas'!C:C)</f>
        <v>Pães</v>
      </c>
      <c r="D240" t="str">
        <f>_xlfn.XLOOKUP(B240,'Produtos &amp; Marcas'!B:B,'Produtos &amp; Marcas'!D:D)</f>
        <v>Kg</v>
      </c>
      <c r="E240" s="3">
        <f>_xlfn.XLOOKUP(B240,'Produtos &amp; Marcas'!B:B,'Produtos &amp; Marcas'!E:E)</f>
        <v>1</v>
      </c>
      <c r="F240" s="8">
        <f t="shared" si="6"/>
        <v>43.5</v>
      </c>
      <c r="G240" t="str">
        <f>_xlfn.XLOOKUP(B240,'Produtos &amp; Marcas'!B:B,'Produtos &amp; Marcas'!F:F)</f>
        <v>Baguete</v>
      </c>
      <c r="H240" t="s">
        <v>25</v>
      </c>
      <c r="I240">
        <f>_xlfn.XLOOKUP(H240,'Base Mercado'!C:C,'Base Mercado'!A:A)</f>
        <v>1</v>
      </c>
      <c r="J240" s="8">
        <v>43.5</v>
      </c>
      <c r="L240" s="8">
        <f t="shared" si="7"/>
        <v>43.5</v>
      </c>
      <c r="M240" s="13"/>
    </row>
    <row r="241" spans="1:13" x14ac:dyDescent="0.3">
      <c r="A241" s="3">
        <v>35</v>
      </c>
      <c r="B241" t="str">
        <f>_xlfn.XLOOKUP(A241,'Produtos &amp; Marcas'!A:A,'Produtos &amp; Marcas'!B:B)</f>
        <v>Pães | Baguete | 1 | Kg</v>
      </c>
      <c r="C241" t="str">
        <f>_xlfn.XLOOKUP(B241,'Produtos &amp; Marcas'!B:B,'Produtos &amp; Marcas'!C:C)</f>
        <v>Pães</v>
      </c>
      <c r="D241" t="str">
        <f>_xlfn.XLOOKUP(B241,'Produtos &amp; Marcas'!B:B,'Produtos &amp; Marcas'!D:D)</f>
        <v>Kg</v>
      </c>
      <c r="E241" s="3">
        <f>_xlfn.XLOOKUP(B241,'Produtos &amp; Marcas'!B:B,'Produtos &amp; Marcas'!E:E)</f>
        <v>1</v>
      </c>
      <c r="F241" s="8">
        <f t="shared" si="6"/>
        <v>43.5</v>
      </c>
      <c r="G241" t="str">
        <f>_xlfn.XLOOKUP(B241,'Produtos &amp; Marcas'!B:B,'Produtos &amp; Marcas'!F:F)</f>
        <v>Baguete</v>
      </c>
      <c r="H241" t="s">
        <v>27</v>
      </c>
      <c r="I241">
        <f>_xlfn.XLOOKUP(H241,'Base Mercado'!C:C,'Base Mercado'!A:A)</f>
        <v>2</v>
      </c>
      <c r="J241" s="8">
        <v>43.5</v>
      </c>
      <c r="L241" s="8">
        <f t="shared" si="7"/>
        <v>43.5</v>
      </c>
      <c r="M241" s="13"/>
    </row>
    <row r="242" spans="1:13" x14ac:dyDescent="0.3">
      <c r="A242" s="3">
        <v>35</v>
      </c>
      <c r="B242" t="str">
        <f>_xlfn.XLOOKUP(A242,'Produtos &amp; Marcas'!A:A,'Produtos &amp; Marcas'!B:B)</f>
        <v>Pães | Baguete | 1 | Kg</v>
      </c>
      <c r="C242" t="str">
        <f>_xlfn.XLOOKUP(B242,'Produtos &amp; Marcas'!B:B,'Produtos &amp; Marcas'!C:C)</f>
        <v>Pães</v>
      </c>
      <c r="D242" t="str">
        <f>_xlfn.XLOOKUP(B242,'Produtos &amp; Marcas'!B:B,'Produtos &amp; Marcas'!D:D)</f>
        <v>Kg</v>
      </c>
      <c r="E242" s="3">
        <f>_xlfn.XLOOKUP(B242,'Produtos &amp; Marcas'!B:B,'Produtos &amp; Marcas'!E:E)</f>
        <v>1</v>
      </c>
      <c r="F242" s="8">
        <f t="shared" si="6"/>
        <v>43.5</v>
      </c>
      <c r="G242" t="str">
        <f>_xlfn.XLOOKUP(B242,'Produtos &amp; Marcas'!B:B,'Produtos &amp; Marcas'!F:F)</f>
        <v>Baguete</v>
      </c>
      <c r="H242" t="s">
        <v>26</v>
      </c>
      <c r="I242">
        <f>_xlfn.XLOOKUP(H242,'Base Mercado'!C:C,'Base Mercado'!A:A)</f>
        <v>3</v>
      </c>
      <c r="J242" s="8">
        <v>43.5</v>
      </c>
      <c r="L242" s="8">
        <f t="shared" si="7"/>
        <v>43.5</v>
      </c>
      <c r="M242" s="13"/>
    </row>
    <row r="243" spans="1:13" x14ac:dyDescent="0.3">
      <c r="A243" s="3">
        <v>35</v>
      </c>
      <c r="B243" t="str">
        <f>_xlfn.XLOOKUP(A243,'Produtos &amp; Marcas'!A:A,'Produtos &amp; Marcas'!B:B)</f>
        <v>Pães | Baguete | 1 | Kg</v>
      </c>
      <c r="C243" t="str">
        <f>_xlfn.XLOOKUP(B243,'Produtos &amp; Marcas'!B:B,'Produtos &amp; Marcas'!C:C)</f>
        <v>Pães</v>
      </c>
      <c r="D243" t="str">
        <f>_xlfn.XLOOKUP(B243,'Produtos &amp; Marcas'!B:B,'Produtos &amp; Marcas'!D:D)</f>
        <v>Kg</v>
      </c>
      <c r="E243" s="3">
        <f>_xlfn.XLOOKUP(B243,'Produtos &amp; Marcas'!B:B,'Produtos &amp; Marcas'!E:E)</f>
        <v>1</v>
      </c>
      <c r="F243" s="8">
        <f t="shared" si="6"/>
        <v>42.5</v>
      </c>
      <c r="G243" t="str">
        <f>_xlfn.XLOOKUP(B243,'Produtos &amp; Marcas'!B:B,'Produtos &amp; Marcas'!F:F)</f>
        <v>Baguete</v>
      </c>
      <c r="H243" t="s">
        <v>28</v>
      </c>
      <c r="I243">
        <f>_xlfn.XLOOKUP(H243,'Base Mercado'!C:C,'Base Mercado'!A:A)</f>
        <v>4</v>
      </c>
      <c r="J243" s="8">
        <v>42.5</v>
      </c>
      <c r="L243" s="8">
        <f t="shared" si="7"/>
        <v>42.5</v>
      </c>
      <c r="M243" s="13"/>
    </row>
    <row r="244" spans="1:13" x14ac:dyDescent="0.3">
      <c r="A244" s="3">
        <v>35</v>
      </c>
      <c r="B244" t="str">
        <f>_xlfn.XLOOKUP(A244,'Produtos &amp; Marcas'!A:A,'Produtos &amp; Marcas'!B:B)</f>
        <v>Pães | Baguete | 1 | Kg</v>
      </c>
      <c r="C244" t="str">
        <f>_xlfn.XLOOKUP(B244,'Produtos &amp; Marcas'!B:B,'Produtos &amp; Marcas'!C:C)</f>
        <v>Pães</v>
      </c>
      <c r="D244" t="str">
        <f>_xlfn.XLOOKUP(B244,'Produtos &amp; Marcas'!B:B,'Produtos &amp; Marcas'!D:D)</f>
        <v>Kg</v>
      </c>
      <c r="E244" s="3">
        <f>_xlfn.XLOOKUP(B244,'Produtos &amp; Marcas'!B:B,'Produtos &amp; Marcas'!E:E)</f>
        <v>1</v>
      </c>
      <c r="F244" s="8">
        <f t="shared" si="6"/>
        <v>42.5</v>
      </c>
      <c r="G244" t="str">
        <f>_xlfn.XLOOKUP(B244,'Produtos &amp; Marcas'!B:B,'Produtos &amp; Marcas'!F:F)</f>
        <v>Baguete</v>
      </c>
      <c r="H244" t="s">
        <v>29</v>
      </c>
      <c r="I244">
        <f>_xlfn.XLOOKUP(H244,'Base Mercado'!C:C,'Base Mercado'!A:A)</f>
        <v>5</v>
      </c>
      <c r="J244" s="8">
        <v>42.5</v>
      </c>
      <c r="L244" s="8">
        <f t="shared" si="7"/>
        <v>42.5</v>
      </c>
      <c r="M244" s="13"/>
    </row>
    <row r="245" spans="1:13" x14ac:dyDescent="0.3">
      <c r="A245" s="3">
        <v>35</v>
      </c>
      <c r="B245" t="str">
        <f>_xlfn.XLOOKUP(A245,'Produtos &amp; Marcas'!A:A,'Produtos &amp; Marcas'!B:B)</f>
        <v>Pães | Baguete | 1 | Kg</v>
      </c>
      <c r="C245" t="str">
        <f>_xlfn.XLOOKUP(B245,'Produtos &amp; Marcas'!B:B,'Produtos &amp; Marcas'!C:C)</f>
        <v>Pães</v>
      </c>
      <c r="D245" t="str">
        <f>_xlfn.XLOOKUP(B245,'Produtos &amp; Marcas'!B:B,'Produtos &amp; Marcas'!D:D)</f>
        <v>Kg</v>
      </c>
      <c r="E245" s="3">
        <f>_xlfn.XLOOKUP(B245,'Produtos &amp; Marcas'!B:B,'Produtos &amp; Marcas'!E:E)</f>
        <v>1</v>
      </c>
      <c r="F245" s="8">
        <f t="shared" si="6"/>
        <v>45.5</v>
      </c>
      <c r="G245" t="str">
        <f>_xlfn.XLOOKUP(B245,'Produtos &amp; Marcas'!B:B,'Produtos &amp; Marcas'!F:F)</f>
        <v>Baguete</v>
      </c>
      <c r="H245" t="s">
        <v>30</v>
      </c>
      <c r="I245">
        <f>_xlfn.XLOOKUP(H245,'Base Mercado'!C:C,'Base Mercado'!A:A)</f>
        <v>6</v>
      </c>
      <c r="J245" s="8">
        <v>45.5</v>
      </c>
      <c r="L245" s="8">
        <f t="shared" si="7"/>
        <v>45.5</v>
      </c>
      <c r="M245" s="13"/>
    </row>
    <row r="246" spans="1:13" x14ac:dyDescent="0.3">
      <c r="A246" s="3">
        <v>35</v>
      </c>
      <c r="B246" t="str">
        <f>_xlfn.XLOOKUP(A246,'Produtos &amp; Marcas'!A:A,'Produtos &amp; Marcas'!B:B)</f>
        <v>Pães | Baguete | 1 | Kg</v>
      </c>
      <c r="C246" t="str">
        <f>_xlfn.XLOOKUP(B246,'Produtos &amp; Marcas'!B:B,'Produtos &amp; Marcas'!C:C)</f>
        <v>Pães</v>
      </c>
      <c r="D246" t="str">
        <f>_xlfn.XLOOKUP(B246,'Produtos &amp; Marcas'!B:B,'Produtos &amp; Marcas'!D:D)</f>
        <v>Kg</v>
      </c>
      <c r="E246" s="3">
        <f>_xlfn.XLOOKUP(B246,'Produtos &amp; Marcas'!B:B,'Produtos &amp; Marcas'!E:E)</f>
        <v>1</v>
      </c>
      <c r="F246" s="8">
        <f t="shared" si="6"/>
        <v>44.5</v>
      </c>
      <c r="G246" t="str">
        <f>_xlfn.XLOOKUP(B246,'Produtos &amp; Marcas'!B:B,'Produtos &amp; Marcas'!F:F)</f>
        <v>Baguete</v>
      </c>
      <c r="H246" t="s">
        <v>31</v>
      </c>
      <c r="I246">
        <f>_xlfn.XLOOKUP(H246,'Base Mercado'!C:C,'Base Mercado'!A:A)</f>
        <v>7</v>
      </c>
      <c r="J246" s="8">
        <v>44.5</v>
      </c>
      <c r="L246" s="8">
        <f t="shared" si="7"/>
        <v>44.5</v>
      </c>
      <c r="M246" s="13"/>
    </row>
    <row r="247" spans="1:13" x14ac:dyDescent="0.3">
      <c r="A247" s="3">
        <v>34</v>
      </c>
      <c r="B247" t="str">
        <f>_xlfn.XLOOKUP(A247,'Produtos &amp; Marcas'!A:A,'Produtos &amp; Marcas'!B:B)</f>
        <v>Pães | Pão Francês | 1 | Kg</v>
      </c>
      <c r="C247" t="str">
        <f>_xlfn.XLOOKUP(B247,'Produtos &amp; Marcas'!B:B,'Produtos &amp; Marcas'!C:C)</f>
        <v>Pães</v>
      </c>
      <c r="D247" t="str">
        <f>_xlfn.XLOOKUP(B247,'Produtos &amp; Marcas'!B:B,'Produtos &amp; Marcas'!D:D)</f>
        <v>Kg</v>
      </c>
      <c r="E247" s="3">
        <f>_xlfn.XLOOKUP(B247,'Produtos &amp; Marcas'!B:B,'Produtos &amp; Marcas'!E:E)</f>
        <v>1</v>
      </c>
      <c r="F247" s="8">
        <f t="shared" si="6"/>
        <v>35</v>
      </c>
      <c r="G247" t="str">
        <f>_xlfn.XLOOKUP(B247,'Produtos &amp; Marcas'!B:B,'Produtos &amp; Marcas'!F:F)</f>
        <v>Pão Francês</v>
      </c>
      <c r="H247" t="s">
        <v>25</v>
      </c>
      <c r="I247">
        <f>_xlfn.XLOOKUP(H247,'Base Mercado'!C:C,'Base Mercado'!A:A)</f>
        <v>1</v>
      </c>
      <c r="J247" s="8">
        <v>35</v>
      </c>
      <c r="L247" s="8">
        <f t="shared" si="7"/>
        <v>35</v>
      </c>
      <c r="M247" s="13"/>
    </row>
    <row r="248" spans="1:13" x14ac:dyDescent="0.3">
      <c r="A248" s="3">
        <v>34</v>
      </c>
      <c r="B248" t="str">
        <f>_xlfn.XLOOKUP(A248,'Produtos &amp; Marcas'!A:A,'Produtos &amp; Marcas'!B:B)</f>
        <v>Pães | Pão Francês | 1 | Kg</v>
      </c>
      <c r="C248" t="str">
        <f>_xlfn.XLOOKUP(B248,'Produtos &amp; Marcas'!B:B,'Produtos &amp; Marcas'!C:C)</f>
        <v>Pães</v>
      </c>
      <c r="D248" t="str">
        <f>_xlfn.XLOOKUP(B248,'Produtos &amp; Marcas'!B:B,'Produtos &amp; Marcas'!D:D)</f>
        <v>Kg</v>
      </c>
      <c r="E248" s="3">
        <f>_xlfn.XLOOKUP(B248,'Produtos &amp; Marcas'!B:B,'Produtos &amp; Marcas'!E:E)</f>
        <v>1</v>
      </c>
      <c r="F248" s="8">
        <f t="shared" si="6"/>
        <v>34</v>
      </c>
      <c r="G248" t="str">
        <f>_xlfn.XLOOKUP(B248,'Produtos &amp; Marcas'!B:B,'Produtos &amp; Marcas'!F:F)</f>
        <v>Pão Francês</v>
      </c>
      <c r="H248" t="s">
        <v>27</v>
      </c>
      <c r="I248">
        <f>_xlfn.XLOOKUP(H248,'Base Mercado'!C:C,'Base Mercado'!A:A)</f>
        <v>2</v>
      </c>
      <c r="J248" s="8">
        <v>34</v>
      </c>
      <c r="L248" s="8">
        <f t="shared" si="7"/>
        <v>34</v>
      </c>
      <c r="M248" s="13"/>
    </row>
    <row r="249" spans="1:13" x14ac:dyDescent="0.3">
      <c r="A249" s="3">
        <v>34</v>
      </c>
      <c r="B249" t="str">
        <f>_xlfn.XLOOKUP(A249,'Produtos &amp; Marcas'!A:A,'Produtos &amp; Marcas'!B:B)</f>
        <v>Pães | Pão Francês | 1 | Kg</v>
      </c>
      <c r="C249" t="str">
        <f>_xlfn.XLOOKUP(B249,'Produtos &amp; Marcas'!B:B,'Produtos &amp; Marcas'!C:C)</f>
        <v>Pães</v>
      </c>
      <c r="D249" t="str">
        <f>_xlfn.XLOOKUP(B249,'Produtos &amp; Marcas'!B:B,'Produtos &amp; Marcas'!D:D)</f>
        <v>Kg</v>
      </c>
      <c r="E249" s="3">
        <f>_xlfn.XLOOKUP(B249,'Produtos &amp; Marcas'!B:B,'Produtos &amp; Marcas'!E:E)</f>
        <v>1</v>
      </c>
      <c r="F249" s="8">
        <f t="shared" si="6"/>
        <v>34</v>
      </c>
      <c r="G249" t="str">
        <f>_xlfn.XLOOKUP(B249,'Produtos &amp; Marcas'!B:B,'Produtos &amp; Marcas'!F:F)</f>
        <v>Pão Francês</v>
      </c>
      <c r="H249" t="s">
        <v>26</v>
      </c>
      <c r="I249">
        <f>_xlfn.XLOOKUP(H249,'Base Mercado'!C:C,'Base Mercado'!A:A)</f>
        <v>3</v>
      </c>
      <c r="J249" s="8">
        <v>34</v>
      </c>
      <c r="L249" s="8">
        <f t="shared" si="7"/>
        <v>34</v>
      </c>
      <c r="M249" s="13"/>
    </row>
    <row r="250" spans="1:13" x14ac:dyDescent="0.3">
      <c r="A250" s="3">
        <v>34</v>
      </c>
      <c r="B250" t="str">
        <f>_xlfn.XLOOKUP(A250,'Produtos &amp; Marcas'!A:A,'Produtos &amp; Marcas'!B:B)</f>
        <v>Pães | Pão Francês | 1 | Kg</v>
      </c>
      <c r="C250" t="str">
        <f>_xlfn.XLOOKUP(B250,'Produtos &amp; Marcas'!B:B,'Produtos &amp; Marcas'!C:C)</f>
        <v>Pães</v>
      </c>
      <c r="D250" t="str">
        <f>_xlfn.XLOOKUP(B250,'Produtos &amp; Marcas'!B:B,'Produtos &amp; Marcas'!D:D)</f>
        <v>Kg</v>
      </c>
      <c r="E250" s="3">
        <f>_xlfn.XLOOKUP(B250,'Produtos &amp; Marcas'!B:B,'Produtos &amp; Marcas'!E:E)</f>
        <v>1</v>
      </c>
      <c r="F250" s="8">
        <f t="shared" si="6"/>
        <v>34</v>
      </c>
      <c r="G250" t="str">
        <f>_xlfn.XLOOKUP(B250,'Produtos &amp; Marcas'!B:B,'Produtos &amp; Marcas'!F:F)</f>
        <v>Pão Francês</v>
      </c>
      <c r="H250" t="s">
        <v>28</v>
      </c>
      <c r="I250">
        <f>_xlfn.XLOOKUP(H250,'Base Mercado'!C:C,'Base Mercado'!A:A)</f>
        <v>4</v>
      </c>
      <c r="J250" s="8">
        <v>34</v>
      </c>
      <c r="L250" s="8">
        <f t="shared" si="7"/>
        <v>34</v>
      </c>
      <c r="M250" s="13"/>
    </row>
    <row r="251" spans="1:13" x14ac:dyDescent="0.3">
      <c r="A251" s="3">
        <v>34</v>
      </c>
      <c r="B251" t="str">
        <f>_xlfn.XLOOKUP(A251,'Produtos &amp; Marcas'!A:A,'Produtos &amp; Marcas'!B:B)</f>
        <v>Pães | Pão Francês | 1 | Kg</v>
      </c>
      <c r="C251" t="str">
        <f>_xlfn.XLOOKUP(B251,'Produtos &amp; Marcas'!B:B,'Produtos &amp; Marcas'!C:C)</f>
        <v>Pães</v>
      </c>
      <c r="D251" t="str">
        <f>_xlfn.XLOOKUP(B251,'Produtos &amp; Marcas'!B:B,'Produtos &amp; Marcas'!D:D)</f>
        <v>Kg</v>
      </c>
      <c r="E251" s="3">
        <f>_xlfn.XLOOKUP(B251,'Produtos &amp; Marcas'!B:B,'Produtos &amp; Marcas'!E:E)</f>
        <v>1</v>
      </c>
      <c r="F251" s="8">
        <f t="shared" si="6"/>
        <v>35</v>
      </c>
      <c r="G251" t="str">
        <f>_xlfn.XLOOKUP(B251,'Produtos &amp; Marcas'!B:B,'Produtos &amp; Marcas'!F:F)</f>
        <v>Pão Francês</v>
      </c>
      <c r="H251" t="s">
        <v>29</v>
      </c>
      <c r="I251">
        <f>_xlfn.XLOOKUP(H251,'Base Mercado'!C:C,'Base Mercado'!A:A)</f>
        <v>5</v>
      </c>
      <c r="J251" s="8">
        <v>35</v>
      </c>
      <c r="L251" s="8">
        <f t="shared" si="7"/>
        <v>35</v>
      </c>
      <c r="M251" s="13"/>
    </row>
    <row r="252" spans="1:13" x14ac:dyDescent="0.3">
      <c r="A252" s="3">
        <v>34</v>
      </c>
      <c r="B252" t="str">
        <f>_xlfn.XLOOKUP(A252,'Produtos &amp; Marcas'!A:A,'Produtos &amp; Marcas'!B:B)</f>
        <v>Pães | Pão Francês | 1 | Kg</v>
      </c>
      <c r="C252" t="str">
        <f>_xlfn.XLOOKUP(B252,'Produtos &amp; Marcas'!B:B,'Produtos &amp; Marcas'!C:C)</f>
        <v>Pães</v>
      </c>
      <c r="D252" t="str">
        <f>_xlfn.XLOOKUP(B252,'Produtos &amp; Marcas'!B:B,'Produtos &amp; Marcas'!D:D)</f>
        <v>Kg</v>
      </c>
      <c r="E252" s="3">
        <f>_xlfn.XLOOKUP(B252,'Produtos &amp; Marcas'!B:B,'Produtos &amp; Marcas'!E:E)</f>
        <v>1</v>
      </c>
      <c r="F252" s="8">
        <f t="shared" si="6"/>
        <v>34</v>
      </c>
      <c r="G252" t="str">
        <f>_xlfn.XLOOKUP(B252,'Produtos &amp; Marcas'!B:B,'Produtos &amp; Marcas'!F:F)</f>
        <v>Pão Francês</v>
      </c>
      <c r="H252" t="s">
        <v>30</v>
      </c>
      <c r="I252">
        <f>_xlfn.XLOOKUP(H252,'Base Mercado'!C:C,'Base Mercado'!A:A)</f>
        <v>6</v>
      </c>
      <c r="J252" s="8">
        <v>34</v>
      </c>
      <c r="L252" s="8">
        <f t="shared" si="7"/>
        <v>34</v>
      </c>
      <c r="M252" s="13"/>
    </row>
    <row r="253" spans="1:13" x14ac:dyDescent="0.3">
      <c r="A253" s="3">
        <v>34</v>
      </c>
      <c r="B253" t="str">
        <f>_xlfn.XLOOKUP(A253,'Produtos &amp; Marcas'!A:A,'Produtos &amp; Marcas'!B:B)</f>
        <v>Pães | Pão Francês | 1 | Kg</v>
      </c>
      <c r="C253" t="str">
        <f>_xlfn.XLOOKUP(B253,'Produtos &amp; Marcas'!B:B,'Produtos &amp; Marcas'!C:C)</f>
        <v>Pães</v>
      </c>
      <c r="D253" t="str">
        <f>_xlfn.XLOOKUP(B253,'Produtos &amp; Marcas'!B:B,'Produtos &amp; Marcas'!D:D)</f>
        <v>Kg</v>
      </c>
      <c r="E253" s="3">
        <f>_xlfn.XLOOKUP(B253,'Produtos &amp; Marcas'!B:B,'Produtos &amp; Marcas'!E:E)</f>
        <v>1</v>
      </c>
      <c r="F253" s="8">
        <f t="shared" si="6"/>
        <v>37</v>
      </c>
      <c r="G253" t="str">
        <f>_xlfn.XLOOKUP(B253,'Produtos &amp; Marcas'!B:B,'Produtos &amp; Marcas'!F:F)</f>
        <v>Pão Francês</v>
      </c>
      <c r="H253" t="s">
        <v>31</v>
      </c>
      <c r="I253">
        <f>_xlfn.XLOOKUP(H253,'Base Mercado'!C:C,'Base Mercado'!A:A)</f>
        <v>7</v>
      </c>
      <c r="J253" s="8">
        <v>37</v>
      </c>
      <c r="L253" s="8">
        <f t="shared" si="7"/>
        <v>37</v>
      </c>
      <c r="M253" s="13"/>
    </row>
    <row r="254" spans="1:13" x14ac:dyDescent="0.3">
      <c r="A254" s="3">
        <v>37</v>
      </c>
      <c r="B254" t="str">
        <f>_xlfn.XLOOKUP(A254,'Produtos &amp; Marcas'!A:A,'Produtos &amp; Marcas'!B:B)</f>
        <v>Tomate | Tomate comum | 1 | Kg</v>
      </c>
      <c r="C254" t="str">
        <f>_xlfn.XLOOKUP(B254,'Produtos &amp; Marcas'!B:B,'Produtos &amp; Marcas'!C:C)</f>
        <v>Tomate</v>
      </c>
      <c r="D254" t="str">
        <f>_xlfn.XLOOKUP(B254,'Produtos &amp; Marcas'!B:B,'Produtos &amp; Marcas'!D:D)</f>
        <v>Kg</v>
      </c>
      <c r="E254" s="3">
        <f>_xlfn.XLOOKUP(B254,'Produtos &amp; Marcas'!B:B,'Produtos &amp; Marcas'!E:E)</f>
        <v>1</v>
      </c>
      <c r="F254" s="8">
        <f t="shared" si="6"/>
        <v>2.98</v>
      </c>
      <c r="G254" t="str">
        <f>_xlfn.XLOOKUP(B254,'Produtos &amp; Marcas'!B:B,'Produtos &amp; Marcas'!F:F)</f>
        <v>Tomate comum</v>
      </c>
      <c r="H254" t="s">
        <v>25</v>
      </c>
      <c r="I254">
        <f>_xlfn.XLOOKUP(H254,'Base Mercado'!C:C,'Base Mercado'!A:A)</f>
        <v>1</v>
      </c>
      <c r="J254" s="8">
        <v>2.98</v>
      </c>
      <c r="L254" s="8">
        <f t="shared" si="7"/>
        <v>2.98</v>
      </c>
      <c r="M254" s="13"/>
    </row>
    <row r="255" spans="1:13" x14ac:dyDescent="0.3">
      <c r="A255" s="3">
        <v>37</v>
      </c>
      <c r="B255" t="str">
        <f>_xlfn.XLOOKUP(A255,'Produtos &amp; Marcas'!A:A,'Produtos &amp; Marcas'!B:B)</f>
        <v>Tomate | Tomate comum | 1 | Kg</v>
      </c>
      <c r="C255" t="str">
        <f>_xlfn.XLOOKUP(B255,'Produtos &amp; Marcas'!B:B,'Produtos &amp; Marcas'!C:C)</f>
        <v>Tomate</v>
      </c>
      <c r="D255" t="str">
        <f>_xlfn.XLOOKUP(B255,'Produtos &amp; Marcas'!B:B,'Produtos &amp; Marcas'!D:D)</f>
        <v>Kg</v>
      </c>
      <c r="E255" s="3">
        <f>_xlfn.XLOOKUP(B255,'Produtos &amp; Marcas'!B:B,'Produtos &amp; Marcas'!E:E)</f>
        <v>1</v>
      </c>
      <c r="F255" s="8">
        <f t="shared" si="6"/>
        <v>4.9800000000000004</v>
      </c>
      <c r="G255" t="str">
        <f>_xlfn.XLOOKUP(B255,'Produtos &amp; Marcas'!B:B,'Produtos &amp; Marcas'!F:F)</f>
        <v>Tomate comum</v>
      </c>
      <c r="H255" t="s">
        <v>27</v>
      </c>
      <c r="I255">
        <f>_xlfn.XLOOKUP(H255,'Base Mercado'!C:C,'Base Mercado'!A:A)</f>
        <v>2</v>
      </c>
      <c r="J255" s="8">
        <v>4.9800000000000004</v>
      </c>
      <c r="L255" s="8">
        <f t="shared" si="7"/>
        <v>4.9800000000000004</v>
      </c>
      <c r="M255" s="13"/>
    </row>
    <row r="256" spans="1:13" x14ac:dyDescent="0.3">
      <c r="A256" s="3">
        <v>37</v>
      </c>
      <c r="B256" t="str">
        <f>_xlfn.XLOOKUP(A256,'Produtos &amp; Marcas'!A:A,'Produtos &amp; Marcas'!B:B)</f>
        <v>Tomate | Tomate comum | 1 | Kg</v>
      </c>
      <c r="C256" t="str">
        <f>_xlfn.XLOOKUP(B256,'Produtos &amp; Marcas'!B:B,'Produtos &amp; Marcas'!C:C)</f>
        <v>Tomate</v>
      </c>
      <c r="D256" t="str">
        <f>_xlfn.XLOOKUP(B256,'Produtos &amp; Marcas'!B:B,'Produtos &amp; Marcas'!D:D)</f>
        <v>Kg</v>
      </c>
      <c r="E256" s="3">
        <f>_xlfn.XLOOKUP(B256,'Produtos &amp; Marcas'!B:B,'Produtos &amp; Marcas'!E:E)</f>
        <v>1</v>
      </c>
      <c r="F256" s="8">
        <f t="shared" si="6"/>
        <v>2.98</v>
      </c>
      <c r="G256" t="str">
        <f>_xlfn.XLOOKUP(B256,'Produtos &amp; Marcas'!B:B,'Produtos &amp; Marcas'!F:F)</f>
        <v>Tomate comum</v>
      </c>
      <c r="H256" t="s">
        <v>26</v>
      </c>
      <c r="I256">
        <f>_xlfn.XLOOKUP(H256,'Base Mercado'!C:C,'Base Mercado'!A:A)</f>
        <v>3</v>
      </c>
      <c r="J256" s="8">
        <v>2.98</v>
      </c>
      <c r="L256" s="8">
        <f t="shared" si="7"/>
        <v>2.98</v>
      </c>
      <c r="M256" s="13"/>
    </row>
    <row r="257" spans="1:13" x14ac:dyDescent="0.3">
      <c r="A257" s="3">
        <v>37</v>
      </c>
      <c r="B257" t="str">
        <f>_xlfn.XLOOKUP(A257,'Produtos &amp; Marcas'!A:A,'Produtos &amp; Marcas'!B:B)</f>
        <v>Tomate | Tomate comum | 1 | Kg</v>
      </c>
      <c r="C257" t="str">
        <f>_xlfn.XLOOKUP(B257,'Produtos &amp; Marcas'!B:B,'Produtos &amp; Marcas'!C:C)</f>
        <v>Tomate</v>
      </c>
      <c r="D257" t="str">
        <f>_xlfn.XLOOKUP(B257,'Produtos &amp; Marcas'!B:B,'Produtos &amp; Marcas'!D:D)</f>
        <v>Kg</v>
      </c>
      <c r="E257" s="3">
        <f>_xlfn.XLOOKUP(B257,'Produtos &amp; Marcas'!B:B,'Produtos &amp; Marcas'!E:E)</f>
        <v>1</v>
      </c>
      <c r="F257" s="8">
        <f t="shared" si="6"/>
        <v>1.98</v>
      </c>
      <c r="G257" t="str">
        <f>_xlfn.XLOOKUP(B257,'Produtos &amp; Marcas'!B:B,'Produtos &amp; Marcas'!F:F)</f>
        <v>Tomate comum</v>
      </c>
      <c r="H257" t="s">
        <v>28</v>
      </c>
      <c r="I257">
        <f>_xlfn.XLOOKUP(H257,'Base Mercado'!C:C,'Base Mercado'!A:A)</f>
        <v>4</v>
      </c>
      <c r="J257" s="8">
        <v>1.98</v>
      </c>
      <c r="L257" s="8">
        <f t="shared" si="7"/>
        <v>1.98</v>
      </c>
      <c r="M257" s="13"/>
    </row>
    <row r="258" spans="1:13" x14ac:dyDescent="0.3">
      <c r="A258" s="3">
        <v>37</v>
      </c>
      <c r="B258" t="str">
        <f>_xlfn.XLOOKUP(A258,'Produtos &amp; Marcas'!A:A,'Produtos &amp; Marcas'!B:B)</f>
        <v>Tomate | Tomate comum | 1 | Kg</v>
      </c>
      <c r="C258" t="str">
        <f>_xlfn.XLOOKUP(B258,'Produtos &amp; Marcas'!B:B,'Produtos &amp; Marcas'!C:C)</f>
        <v>Tomate</v>
      </c>
      <c r="D258" t="str">
        <f>_xlfn.XLOOKUP(B258,'Produtos &amp; Marcas'!B:B,'Produtos &amp; Marcas'!D:D)</f>
        <v>Kg</v>
      </c>
      <c r="E258" s="3">
        <f>_xlfn.XLOOKUP(B258,'Produtos &amp; Marcas'!B:B,'Produtos &amp; Marcas'!E:E)</f>
        <v>1</v>
      </c>
      <c r="F258" s="8">
        <f t="shared" ref="F258:F274" si="8">J258/E258</f>
        <v>1.98</v>
      </c>
      <c r="G258" t="str">
        <f>_xlfn.XLOOKUP(B258,'Produtos &amp; Marcas'!B:B,'Produtos &amp; Marcas'!F:F)</f>
        <v>Tomate comum</v>
      </c>
      <c r="H258" t="s">
        <v>29</v>
      </c>
      <c r="I258">
        <f>_xlfn.XLOOKUP(H258,'Base Mercado'!C:C,'Base Mercado'!A:A)</f>
        <v>5</v>
      </c>
      <c r="J258" s="8">
        <v>1.98</v>
      </c>
      <c r="L258" s="8">
        <f t="shared" si="7"/>
        <v>1.98</v>
      </c>
      <c r="M258" s="13"/>
    </row>
    <row r="259" spans="1:13" x14ac:dyDescent="0.3">
      <c r="A259" s="3">
        <v>37</v>
      </c>
      <c r="B259" t="str">
        <f>_xlfn.XLOOKUP(A259,'Produtos &amp; Marcas'!A:A,'Produtos &amp; Marcas'!B:B)</f>
        <v>Tomate | Tomate comum | 1 | Kg</v>
      </c>
      <c r="C259" t="str">
        <f>_xlfn.XLOOKUP(B259,'Produtos &amp; Marcas'!B:B,'Produtos &amp; Marcas'!C:C)</f>
        <v>Tomate</v>
      </c>
      <c r="D259" t="str">
        <f>_xlfn.XLOOKUP(B259,'Produtos &amp; Marcas'!B:B,'Produtos &amp; Marcas'!D:D)</f>
        <v>Kg</v>
      </c>
      <c r="E259" s="3">
        <f>_xlfn.XLOOKUP(B259,'Produtos &amp; Marcas'!B:B,'Produtos &amp; Marcas'!E:E)</f>
        <v>1</v>
      </c>
      <c r="F259" s="8">
        <f t="shared" si="8"/>
        <v>4.9800000000000004</v>
      </c>
      <c r="G259" t="str">
        <f>_xlfn.XLOOKUP(B259,'Produtos &amp; Marcas'!B:B,'Produtos &amp; Marcas'!F:F)</f>
        <v>Tomate comum</v>
      </c>
      <c r="H259" t="s">
        <v>30</v>
      </c>
      <c r="I259">
        <f>_xlfn.XLOOKUP(H259,'Base Mercado'!C:C,'Base Mercado'!A:A)</f>
        <v>6</v>
      </c>
      <c r="J259" s="8">
        <v>4.9800000000000004</v>
      </c>
      <c r="L259" s="8">
        <f t="shared" ref="L259:L274" si="9">IF(AND(K259&lt;&gt;"",K259&lt;J259),K259,J259)</f>
        <v>4.9800000000000004</v>
      </c>
      <c r="M259" s="13"/>
    </row>
    <row r="260" spans="1:13" x14ac:dyDescent="0.3">
      <c r="A260" s="3">
        <v>37</v>
      </c>
      <c r="B260" t="str">
        <f>_xlfn.XLOOKUP(A260,'Produtos &amp; Marcas'!A:A,'Produtos &amp; Marcas'!B:B)</f>
        <v>Tomate | Tomate comum | 1 | Kg</v>
      </c>
      <c r="C260" t="str">
        <f>_xlfn.XLOOKUP(B260,'Produtos &amp; Marcas'!B:B,'Produtos &amp; Marcas'!C:C)</f>
        <v>Tomate</v>
      </c>
      <c r="D260" t="str">
        <f>_xlfn.XLOOKUP(B260,'Produtos &amp; Marcas'!B:B,'Produtos &amp; Marcas'!D:D)</f>
        <v>Kg</v>
      </c>
      <c r="E260" s="3">
        <f>_xlfn.XLOOKUP(B260,'Produtos &amp; Marcas'!B:B,'Produtos &amp; Marcas'!E:E)</f>
        <v>1</v>
      </c>
      <c r="F260" s="8">
        <f t="shared" si="8"/>
        <v>4.9800000000000004</v>
      </c>
      <c r="G260" t="str">
        <f>_xlfn.XLOOKUP(B260,'Produtos &amp; Marcas'!B:B,'Produtos &amp; Marcas'!F:F)</f>
        <v>Tomate comum</v>
      </c>
      <c r="H260" t="s">
        <v>31</v>
      </c>
      <c r="I260">
        <f>_xlfn.XLOOKUP(H260,'Base Mercado'!C:C,'Base Mercado'!A:A)</f>
        <v>7</v>
      </c>
      <c r="J260" s="8">
        <v>4.9800000000000004</v>
      </c>
      <c r="K260" s="8">
        <v>4.83</v>
      </c>
      <c r="L260" s="8">
        <f t="shared" si="9"/>
        <v>4.83</v>
      </c>
      <c r="M260" s="13"/>
    </row>
    <row r="261" spans="1:13" x14ac:dyDescent="0.3">
      <c r="A261" s="3">
        <v>39</v>
      </c>
      <c r="B261" t="str">
        <f>_xlfn.XLOOKUP(A261,'Produtos &amp; Marcas'!A:A,'Produtos &amp; Marcas'!B:B)</f>
        <v>Tomate | Tomate cereja | 0,25 | Kg</v>
      </c>
      <c r="C261" t="str">
        <f>_xlfn.XLOOKUP(B261,'Produtos &amp; Marcas'!B:B,'Produtos &amp; Marcas'!C:C)</f>
        <v>Tomate</v>
      </c>
      <c r="D261" t="str">
        <f>_xlfn.XLOOKUP(B261,'Produtos &amp; Marcas'!B:B,'Produtos &amp; Marcas'!D:D)</f>
        <v>Kg</v>
      </c>
      <c r="E261" s="3">
        <f>_xlfn.XLOOKUP(B261,'Produtos &amp; Marcas'!B:B,'Produtos &amp; Marcas'!E:E)</f>
        <v>0.25</v>
      </c>
      <c r="F261" s="8">
        <f t="shared" si="8"/>
        <v>13.92</v>
      </c>
      <c r="G261" t="str">
        <f>_xlfn.XLOOKUP(B261,'Produtos &amp; Marcas'!B:B,'Produtos &amp; Marcas'!F:F)</f>
        <v>Tomate cereja</v>
      </c>
      <c r="H261" t="s">
        <v>25</v>
      </c>
      <c r="I261">
        <f>_xlfn.XLOOKUP(H261,'Base Mercado'!C:C,'Base Mercado'!A:A)</f>
        <v>1</v>
      </c>
      <c r="J261" s="8">
        <v>3.48</v>
      </c>
      <c r="L261" s="8">
        <f t="shared" si="9"/>
        <v>3.48</v>
      </c>
      <c r="M261" s="13"/>
    </row>
    <row r="262" spans="1:13" x14ac:dyDescent="0.3">
      <c r="A262" s="3">
        <v>39</v>
      </c>
      <c r="B262" t="str">
        <f>_xlfn.XLOOKUP(A262,'Produtos &amp; Marcas'!A:A,'Produtos &amp; Marcas'!B:B)</f>
        <v>Tomate | Tomate cereja | 0,25 | Kg</v>
      </c>
      <c r="C262" t="str">
        <f>_xlfn.XLOOKUP(B262,'Produtos &amp; Marcas'!B:B,'Produtos &amp; Marcas'!C:C)</f>
        <v>Tomate</v>
      </c>
      <c r="D262" t="str">
        <f>_xlfn.XLOOKUP(B262,'Produtos &amp; Marcas'!B:B,'Produtos &amp; Marcas'!D:D)</f>
        <v>Kg</v>
      </c>
      <c r="E262" s="3">
        <f>_xlfn.XLOOKUP(B262,'Produtos &amp; Marcas'!B:B,'Produtos &amp; Marcas'!E:E)</f>
        <v>0.25</v>
      </c>
      <c r="F262" s="8">
        <f t="shared" si="8"/>
        <v>13.92</v>
      </c>
      <c r="G262" t="str">
        <f>_xlfn.XLOOKUP(B262,'Produtos &amp; Marcas'!B:B,'Produtos &amp; Marcas'!F:F)</f>
        <v>Tomate cereja</v>
      </c>
      <c r="H262" t="s">
        <v>27</v>
      </c>
      <c r="I262">
        <f>_xlfn.XLOOKUP(H262,'Base Mercado'!C:C,'Base Mercado'!A:A)</f>
        <v>2</v>
      </c>
      <c r="J262" s="8">
        <v>3.48</v>
      </c>
      <c r="L262" s="8">
        <f t="shared" si="9"/>
        <v>3.48</v>
      </c>
      <c r="M262" s="13"/>
    </row>
    <row r="263" spans="1:13" x14ac:dyDescent="0.3">
      <c r="A263" s="3">
        <v>39</v>
      </c>
      <c r="B263" t="str">
        <f>_xlfn.XLOOKUP(A263,'Produtos &amp; Marcas'!A:A,'Produtos &amp; Marcas'!B:B)</f>
        <v>Tomate | Tomate cereja | 0,25 | Kg</v>
      </c>
      <c r="C263" t="str">
        <f>_xlfn.XLOOKUP(B263,'Produtos &amp; Marcas'!B:B,'Produtos &amp; Marcas'!C:C)</f>
        <v>Tomate</v>
      </c>
      <c r="D263" t="str">
        <f>_xlfn.XLOOKUP(B263,'Produtos &amp; Marcas'!B:B,'Produtos &amp; Marcas'!D:D)</f>
        <v>Kg</v>
      </c>
      <c r="E263" s="3">
        <f>_xlfn.XLOOKUP(B263,'Produtos &amp; Marcas'!B:B,'Produtos &amp; Marcas'!E:E)</f>
        <v>0.25</v>
      </c>
      <c r="F263" s="8">
        <f t="shared" si="8"/>
        <v>17.920000000000002</v>
      </c>
      <c r="G263" t="str">
        <f>_xlfn.XLOOKUP(B263,'Produtos &amp; Marcas'!B:B,'Produtos &amp; Marcas'!F:F)</f>
        <v>Tomate cereja</v>
      </c>
      <c r="H263" t="s">
        <v>26</v>
      </c>
      <c r="I263">
        <f>_xlfn.XLOOKUP(H263,'Base Mercado'!C:C,'Base Mercado'!A:A)</f>
        <v>3</v>
      </c>
      <c r="J263" s="8">
        <v>4.4800000000000004</v>
      </c>
      <c r="L263" s="8">
        <f t="shared" si="9"/>
        <v>4.4800000000000004</v>
      </c>
      <c r="M263" s="13"/>
    </row>
    <row r="264" spans="1:13" x14ac:dyDescent="0.3">
      <c r="A264" s="3">
        <v>39</v>
      </c>
      <c r="B264" t="str">
        <f>_xlfn.XLOOKUP(A264,'Produtos &amp; Marcas'!A:A,'Produtos &amp; Marcas'!B:B)</f>
        <v>Tomate | Tomate cereja | 0,25 | Kg</v>
      </c>
      <c r="C264" t="str">
        <f>_xlfn.XLOOKUP(B264,'Produtos &amp; Marcas'!B:B,'Produtos &amp; Marcas'!C:C)</f>
        <v>Tomate</v>
      </c>
      <c r="D264" t="str">
        <f>_xlfn.XLOOKUP(B264,'Produtos &amp; Marcas'!B:B,'Produtos &amp; Marcas'!D:D)</f>
        <v>Kg</v>
      </c>
      <c r="E264" s="3">
        <f>_xlfn.XLOOKUP(B264,'Produtos &amp; Marcas'!B:B,'Produtos &amp; Marcas'!E:E)</f>
        <v>0.25</v>
      </c>
      <c r="F264" s="8">
        <f t="shared" si="8"/>
        <v>21.92</v>
      </c>
      <c r="G264" t="str">
        <f>_xlfn.XLOOKUP(B264,'Produtos &amp; Marcas'!B:B,'Produtos &amp; Marcas'!F:F)</f>
        <v>Tomate cereja</v>
      </c>
      <c r="H264" t="s">
        <v>28</v>
      </c>
      <c r="I264">
        <f>_xlfn.XLOOKUP(H264,'Base Mercado'!C:C,'Base Mercado'!A:A)</f>
        <v>4</v>
      </c>
      <c r="J264" s="8">
        <v>5.48</v>
      </c>
      <c r="L264" s="8">
        <f t="shared" si="9"/>
        <v>5.48</v>
      </c>
      <c r="M264" s="13"/>
    </row>
    <row r="265" spans="1:13" x14ac:dyDescent="0.3">
      <c r="A265" s="3">
        <v>39</v>
      </c>
      <c r="B265" t="str">
        <f>_xlfn.XLOOKUP(A265,'Produtos &amp; Marcas'!A:A,'Produtos &amp; Marcas'!B:B)</f>
        <v>Tomate | Tomate cereja | 0,25 | Kg</v>
      </c>
      <c r="C265" t="str">
        <f>_xlfn.XLOOKUP(B265,'Produtos &amp; Marcas'!B:B,'Produtos &amp; Marcas'!C:C)</f>
        <v>Tomate</v>
      </c>
      <c r="D265" t="str">
        <f>_xlfn.XLOOKUP(B265,'Produtos &amp; Marcas'!B:B,'Produtos &amp; Marcas'!D:D)</f>
        <v>Kg</v>
      </c>
      <c r="E265" s="3">
        <f>_xlfn.XLOOKUP(B265,'Produtos &amp; Marcas'!B:B,'Produtos &amp; Marcas'!E:E)</f>
        <v>0.25</v>
      </c>
      <c r="F265" s="8">
        <f t="shared" si="8"/>
        <v>17.920000000000002</v>
      </c>
      <c r="G265" t="str">
        <f>_xlfn.XLOOKUP(B265,'Produtos &amp; Marcas'!B:B,'Produtos &amp; Marcas'!F:F)</f>
        <v>Tomate cereja</v>
      </c>
      <c r="H265" t="s">
        <v>29</v>
      </c>
      <c r="I265">
        <f>_xlfn.XLOOKUP(H265,'Base Mercado'!C:C,'Base Mercado'!A:A)</f>
        <v>5</v>
      </c>
      <c r="J265" s="8">
        <v>4.4800000000000004</v>
      </c>
      <c r="L265" s="8">
        <f t="shared" si="9"/>
        <v>4.4800000000000004</v>
      </c>
      <c r="M265" s="13"/>
    </row>
    <row r="266" spans="1:13" x14ac:dyDescent="0.3">
      <c r="A266" s="3">
        <v>39</v>
      </c>
      <c r="B266" t="str">
        <f>_xlfn.XLOOKUP(A266,'Produtos &amp; Marcas'!A:A,'Produtos &amp; Marcas'!B:B)</f>
        <v>Tomate | Tomate cereja | 0,25 | Kg</v>
      </c>
      <c r="C266" t="str">
        <f>_xlfn.XLOOKUP(B266,'Produtos &amp; Marcas'!B:B,'Produtos &amp; Marcas'!C:C)</f>
        <v>Tomate</v>
      </c>
      <c r="D266" t="str">
        <f>_xlfn.XLOOKUP(B266,'Produtos &amp; Marcas'!B:B,'Produtos &amp; Marcas'!D:D)</f>
        <v>Kg</v>
      </c>
      <c r="E266" s="3">
        <f>_xlfn.XLOOKUP(B266,'Produtos &amp; Marcas'!B:B,'Produtos &amp; Marcas'!E:E)</f>
        <v>0.25</v>
      </c>
      <c r="F266" s="8">
        <f t="shared" si="8"/>
        <v>17.920000000000002</v>
      </c>
      <c r="G266" t="str">
        <f>_xlfn.XLOOKUP(B266,'Produtos &amp; Marcas'!B:B,'Produtos &amp; Marcas'!F:F)</f>
        <v>Tomate cereja</v>
      </c>
      <c r="H266" t="s">
        <v>30</v>
      </c>
      <c r="I266">
        <f>_xlfn.XLOOKUP(H266,'Base Mercado'!C:C,'Base Mercado'!A:A)</f>
        <v>6</v>
      </c>
      <c r="J266" s="8">
        <v>4.4800000000000004</v>
      </c>
      <c r="L266" s="8">
        <f t="shared" si="9"/>
        <v>4.4800000000000004</v>
      </c>
      <c r="M266" s="13"/>
    </row>
    <row r="267" spans="1:13" x14ac:dyDescent="0.3">
      <c r="A267" s="3">
        <v>39</v>
      </c>
      <c r="B267" t="str">
        <f>_xlfn.XLOOKUP(A267,'Produtos &amp; Marcas'!A:A,'Produtos &amp; Marcas'!B:B)</f>
        <v>Tomate | Tomate cereja | 0,25 | Kg</v>
      </c>
      <c r="C267" t="str">
        <f>_xlfn.XLOOKUP(B267,'Produtos &amp; Marcas'!B:B,'Produtos &amp; Marcas'!C:C)</f>
        <v>Tomate</v>
      </c>
      <c r="D267" t="str">
        <f>_xlfn.XLOOKUP(B267,'Produtos &amp; Marcas'!B:B,'Produtos &amp; Marcas'!D:D)</f>
        <v>Kg</v>
      </c>
      <c r="E267" s="3">
        <f>_xlfn.XLOOKUP(B267,'Produtos &amp; Marcas'!B:B,'Produtos &amp; Marcas'!E:E)</f>
        <v>0.25</v>
      </c>
      <c r="F267" s="8">
        <f t="shared" si="8"/>
        <v>21.92</v>
      </c>
      <c r="G267" t="str">
        <f>_xlfn.XLOOKUP(B267,'Produtos &amp; Marcas'!B:B,'Produtos &amp; Marcas'!F:F)</f>
        <v>Tomate cereja</v>
      </c>
      <c r="H267" t="s">
        <v>31</v>
      </c>
      <c r="I267">
        <f>_xlfn.XLOOKUP(H267,'Base Mercado'!C:C,'Base Mercado'!A:A)</f>
        <v>7</v>
      </c>
      <c r="J267" s="8">
        <v>5.48</v>
      </c>
      <c r="L267" s="8">
        <f t="shared" si="9"/>
        <v>5.48</v>
      </c>
      <c r="M267" s="13"/>
    </row>
    <row r="268" spans="1:13" x14ac:dyDescent="0.3">
      <c r="A268" s="3">
        <v>38</v>
      </c>
      <c r="B268" t="str">
        <f>_xlfn.XLOOKUP(A268,'Produtos &amp; Marcas'!A:A,'Produtos &amp; Marcas'!B:B)</f>
        <v>Tomate | Tomate italiano | 1 | Kg</v>
      </c>
      <c r="C268" t="str">
        <f>_xlfn.XLOOKUP(B268,'Produtos &amp; Marcas'!B:B,'Produtos &amp; Marcas'!C:C)</f>
        <v>Tomate</v>
      </c>
      <c r="D268" t="str">
        <f>_xlfn.XLOOKUP(B268,'Produtos &amp; Marcas'!B:B,'Produtos &amp; Marcas'!D:D)</f>
        <v>Kg</v>
      </c>
      <c r="E268" s="3">
        <f>_xlfn.XLOOKUP(B268,'Produtos &amp; Marcas'!B:B,'Produtos &amp; Marcas'!E:E)</f>
        <v>1</v>
      </c>
      <c r="F268" s="8">
        <f t="shared" si="8"/>
        <v>4.6500000000000004</v>
      </c>
      <c r="G268" t="str">
        <f>_xlfn.XLOOKUP(B268,'Produtos &amp; Marcas'!B:B,'Produtos &amp; Marcas'!F:F)</f>
        <v>Tomate italiano</v>
      </c>
      <c r="H268" t="s">
        <v>25</v>
      </c>
      <c r="I268">
        <f>_xlfn.XLOOKUP(H268,'Base Mercado'!C:C,'Base Mercado'!A:A)</f>
        <v>1</v>
      </c>
      <c r="J268" s="8">
        <v>4.6500000000000004</v>
      </c>
      <c r="L268" s="8">
        <f t="shared" si="9"/>
        <v>4.6500000000000004</v>
      </c>
      <c r="M268" s="13"/>
    </row>
    <row r="269" spans="1:13" x14ac:dyDescent="0.3">
      <c r="A269" s="3">
        <v>38</v>
      </c>
      <c r="B269" t="str">
        <f>_xlfn.XLOOKUP(A269,'Produtos &amp; Marcas'!A:A,'Produtos &amp; Marcas'!B:B)</f>
        <v>Tomate | Tomate italiano | 1 | Kg</v>
      </c>
      <c r="C269" t="str">
        <f>_xlfn.XLOOKUP(B269,'Produtos &amp; Marcas'!B:B,'Produtos &amp; Marcas'!C:C)</f>
        <v>Tomate</v>
      </c>
      <c r="D269" t="str">
        <f>_xlfn.XLOOKUP(B269,'Produtos &amp; Marcas'!B:B,'Produtos &amp; Marcas'!D:D)</f>
        <v>Kg</v>
      </c>
      <c r="E269" s="3">
        <f>_xlfn.XLOOKUP(B269,'Produtos &amp; Marcas'!B:B,'Produtos &amp; Marcas'!E:E)</f>
        <v>1</v>
      </c>
      <c r="F269" s="8">
        <f t="shared" si="8"/>
        <v>3.6500000000000004</v>
      </c>
      <c r="G269" t="str">
        <f>_xlfn.XLOOKUP(B269,'Produtos &amp; Marcas'!B:B,'Produtos &amp; Marcas'!F:F)</f>
        <v>Tomate italiano</v>
      </c>
      <c r="H269" t="s">
        <v>27</v>
      </c>
      <c r="I269">
        <f>_xlfn.XLOOKUP(H269,'Base Mercado'!C:C,'Base Mercado'!A:A)</f>
        <v>2</v>
      </c>
      <c r="J269" s="8">
        <v>3.6500000000000004</v>
      </c>
      <c r="L269" s="8">
        <f t="shared" si="9"/>
        <v>3.6500000000000004</v>
      </c>
      <c r="M269" s="13"/>
    </row>
    <row r="270" spans="1:13" x14ac:dyDescent="0.3">
      <c r="A270" s="3">
        <v>38</v>
      </c>
      <c r="B270" t="str">
        <f>_xlfn.XLOOKUP(A270,'Produtos &amp; Marcas'!A:A,'Produtos &amp; Marcas'!B:B)</f>
        <v>Tomate | Tomate italiano | 1 | Kg</v>
      </c>
      <c r="C270" t="str">
        <f>_xlfn.XLOOKUP(B270,'Produtos &amp; Marcas'!B:B,'Produtos &amp; Marcas'!C:C)</f>
        <v>Tomate</v>
      </c>
      <c r="D270" t="str">
        <f>_xlfn.XLOOKUP(B270,'Produtos &amp; Marcas'!B:B,'Produtos &amp; Marcas'!D:D)</f>
        <v>Kg</v>
      </c>
      <c r="E270" s="3">
        <f>_xlfn.XLOOKUP(B270,'Produtos &amp; Marcas'!B:B,'Produtos &amp; Marcas'!E:E)</f>
        <v>1</v>
      </c>
      <c r="F270" s="8">
        <f t="shared" si="8"/>
        <v>3.6500000000000004</v>
      </c>
      <c r="G270" t="str">
        <f>_xlfn.XLOOKUP(B270,'Produtos &amp; Marcas'!B:B,'Produtos &amp; Marcas'!F:F)</f>
        <v>Tomate italiano</v>
      </c>
      <c r="H270" t="s">
        <v>26</v>
      </c>
      <c r="I270">
        <f>_xlfn.XLOOKUP(H270,'Base Mercado'!C:C,'Base Mercado'!A:A)</f>
        <v>3</v>
      </c>
      <c r="J270" s="8">
        <v>3.6500000000000004</v>
      </c>
      <c r="L270" s="8">
        <f t="shared" si="9"/>
        <v>3.6500000000000004</v>
      </c>
      <c r="M270" s="13"/>
    </row>
    <row r="271" spans="1:13" x14ac:dyDescent="0.3">
      <c r="A271" s="3">
        <v>38</v>
      </c>
      <c r="B271" t="str">
        <f>_xlfn.XLOOKUP(A271,'Produtos &amp; Marcas'!A:A,'Produtos &amp; Marcas'!B:B)</f>
        <v>Tomate | Tomate italiano | 1 | Kg</v>
      </c>
      <c r="C271" t="str">
        <f>_xlfn.XLOOKUP(B271,'Produtos &amp; Marcas'!B:B,'Produtos &amp; Marcas'!C:C)</f>
        <v>Tomate</v>
      </c>
      <c r="D271" t="str">
        <f>_xlfn.XLOOKUP(B271,'Produtos &amp; Marcas'!B:B,'Produtos &amp; Marcas'!D:D)</f>
        <v>Kg</v>
      </c>
      <c r="E271" s="3">
        <f>_xlfn.XLOOKUP(B271,'Produtos &amp; Marcas'!B:B,'Produtos &amp; Marcas'!E:E)</f>
        <v>1</v>
      </c>
      <c r="F271" s="8">
        <f t="shared" si="8"/>
        <v>6.65</v>
      </c>
      <c r="G271" t="str">
        <f>_xlfn.XLOOKUP(B271,'Produtos &amp; Marcas'!B:B,'Produtos &amp; Marcas'!F:F)</f>
        <v>Tomate italiano</v>
      </c>
      <c r="H271" t="s">
        <v>28</v>
      </c>
      <c r="I271">
        <f>_xlfn.XLOOKUP(H271,'Base Mercado'!C:C,'Base Mercado'!A:A)</f>
        <v>4</v>
      </c>
      <c r="J271" s="8">
        <v>6.65</v>
      </c>
      <c r="K271" s="8">
        <v>6.5</v>
      </c>
      <c r="L271" s="8">
        <f t="shared" si="9"/>
        <v>6.5</v>
      </c>
      <c r="M271" s="13"/>
    </row>
    <row r="272" spans="1:13" x14ac:dyDescent="0.3">
      <c r="A272" s="3">
        <v>38</v>
      </c>
      <c r="B272" t="str">
        <f>_xlfn.XLOOKUP(A272,'Produtos &amp; Marcas'!A:A,'Produtos &amp; Marcas'!B:B)</f>
        <v>Tomate | Tomate italiano | 1 | Kg</v>
      </c>
      <c r="C272" t="str">
        <f>_xlfn.XLOOKUP(B272,'Produtos &amp; Marcas'!B:B,'Produtos &amp; Marcas'!C:C)</f>
        <v>Tomate</v>
      </c>
      <c r="D272" t="str">
        <f>_xlfn.XLOOKUP(B272,'Produtos &amp; Marcas'!B:B,'Produtos &amp; Marcas'!D:D)</f>
        <v>Kg</v>
      </c>
      <c r="E272" s="3">
        <f>_xlfn.XLOOKUP(B272,'Produtos &amp; Marcas'!B:B,'Produtos &amp; Marcas'!E:E)</f>
        <v>1</v>
      </c>
      <c r="F272" s="8">
        <f t="shared" si="8"/>
        <v>6.65</v>
      </c>
      <c r="G272" t="str">
        <f>_xlfn.XLOOKUP(B272,'Produtos &amp; Marcas'!B:B,'Produtos &amp; Marcas'!F:F)</f>
        <v>Tomate italiano</v>
      </c>
      <c r="H272" t="s">
        <v>29</v>
      </c>
      <c r="I272">
        <f>_xlfn.XLOOKUP(H272,'Base Mercado'!C:C,'Base Mercado'!A:A)</f>
        <v>5</v>
      </c>
      <c r="J272" s="8">
        <v>6.65</v>
      </c>
      <c r="K272" s="8">
        <v>6.5500000000000007</v>
      </c>
      <c r="L272" s="8">
        <f t="shared" si="9"/>
        <v>6.5500000000000007</v>
      </c>
      <c r="M272" s="13"/>
    </row>
    <row r="273" spans="1:13" x14ac:dyDescent="0.3">
      <c r="A273" s="3">
        <v>38</v>
      </c>
      <c r="B273" t="str">
        <f>_xlfn.XLOOKUP(A273,'Produtos &amp; Marcas'!A:A,'Produtos &amp; Marcas'!B:B)</f>
        <v>Tomate | Tomate italiano | 1 | Kg</v>
      </c>
      <c r="C273" t="str">
        <f>_xlfn.XLOOKUP(B273,'Produtos &amp; Marcas'!B:B,'Produtos &amp; Marcas'!C:C)</f>
        <v>Tomate</v>
      </c>
      <c r="D273" t="str">
        <f>_xlfn.XLOOKUP(B273,'Produtos &amp; Marcas'!B:B,'Produtos &amp; Marcas'!D:D)</f>
        <v>Kg</v>
      </c>
      <c r="E273" s="3">
        <f>_xlfn.XLOOKUP(B273,'Produtos &amp; Marcas'!B:B,'Produtos &amp; Marcas'!E:E)</f>
        <v>1</v>
      </c>
      <c r="F273" s="8">
        <f t="shared" si="8"/>
        <v>5.65</v>
      </c>
      <c r="G273" t="str">
        <f>_xlfn.XLOOKUP(B273,'Produtos &amp; Marcas'!B:B,'Produtos &amp; Marcas'!F:F)</f>
        <v>Tomate italiano</v>
      </c>
      <c r="H273" t="s">
        <v>30</v>
      </c>
      <c r="I273">
        <f>_xlfn.XLOOKUP(H273,'Base Mercado'!C:C,'Base Mercado'!A:A)</f>
        <v>6</v>
      </c>
      <c r="J273" s="8">
        <v>5.65</v>
      </c>
      <c r="K273" s="8">
        <v>5.5500000000000007</v>
      </c>
      <c r="L273" s="8">
        <f t="shared" si="9"/>
        <v>5.5500000000000007</v>
      </c>
      <c r="M273" s="13"/>
    </row>
    <row r="274" spans="1:13" x14ac:dyDescent="0.3">
      <c r="A274" s="3">
        <v>38</v>
      </c>
      <c r="B274" t="str">
        <f>_xlfn.XLOOKUP(A274,'Produtos &amp; Marcas'!A:A,'Produtos &amp; Marcas'!B:B)</f>
        <v>Tomate | Tomate italiano | 1 | Kg</v>
      </c>
      <c r="C274" t="str">
        <f>_xlfn.XLOOKUP(B274,'Produtos &amp; Marcas'!B:B,'Produtos &amp; Marcas'!C:C)</f>
        <v>Tomate</v>
      </c>
      <c r="D274" t="str">
        <f>_xlfn.XLOOKUP(B274,'Produtos &amp; Marcas'!B:B,'Produtos &amp; Marcas'!D:D)</f>
        <v>Kg</v>
      </c>
      <c r="E274" s="3">
        <f>_xlfn.XLOOKUP(B274,'Produtos &amp; Marcas'!B:B,'Produtos &amp; Marcas'!E:E)</f>
        <v>1</v>
      </c>
      <c r="F274" s="8">
        <f t="shared" si="8"/>
        <v>3.6500000000000004</v>
      </c>
      <c r="G274" t="str">
        <f>_xlfn.XLOOKUP(B274,'Produtos &amp; Marcas'!B:B,'Produtos &amp; Marcas'!F:F)</f>
        <v>Tomate italiano</v>
      </c>
      <c r="H274" t="s">
        <v>31</v>
      </c>
      <c r="I274">
        <f>_xlfn.XLOOKUP(H274,'Base Mercado'!C:C,'Base Mercado'!A:A)</f>
        <v>7</v>
      </c>
      <c r="J274" s="8">
        <v>3.6500000000000004</v>
      </c>
      <c r="K274" s="8">
        <v>3.5000000000000004</v>
      </c>
      <c r="L274" s="8">
        <f t="shared" si="9"/>
        <v>3.5000000000000004</v>
      </c>
      <c r="M274" s="13"/>
    </row>
  </sheetData>
  <autoFilter ref="A1:L274" xr:uid="{20DD9BA4-4CA9-4105-925F-994B656B29B7}"/>
  <conditionalFormatting sqref="I1:I1048576">
    <cfRule type="colorScale" priority="1">
      <colorScale>
        <cfvo type="min"/>
        <cfvo type="percentile" val="50"/>
        <cfvo type="max"/>
        <color theme="8"/>
        <color rgb="FFFCFCFF"/>
        <color theme="7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B8732A-970D-4291-AA9E-262F9F2C8F13}">
          <x14:formula1>
            <xm:f>'Produtos &amp; Marcas'!$B$2:$B$40</xm:f>
          </x14:formula1>
          <xm:sqref>B2:B274</xm:sqref>
        </x14:dataValidation>
        <x14:dataValidation type="list" allowBlank="1" showInputMessage="1" showErrorMessage="1" xr:uid="{D31518FB-E94A-404E-A6CF-AE20ECDD6473}">
          <x14:formula1>
            <xm:f>'Base Mercado'!$C$2:$C$8</xm:f>
          </x14:formula1>
          <xm:sqref>H2:H274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B151-2F38-4733-A419-350BBB76B259}">
  <dimension ref="A1:F913"/>
  <sheetViews>
    <sheetView showGridLines="0" workbookViewId="0">
      <selection activeCell="E7" sqref="E7"/>
    </sheetView>
  </sheetViews>
  <sheetFormatPr defaultColWidth="12.88671875" defaultRowHeight="14.4" x14ac:dyDescent="0.3"/>
  <cols>
    <col min="1" max="1" width="12.88671875" style="3"/>
    <col min="2" max="2" width="42" customWidth="1"/>
    <col min="3" max="4" width="12.88671875" style="3"/>
    <col min="5" max="5" width="53.88671875" style="10" customWidth="1"/>
    <col min="6" max="6" width="21.5546875" style="3" customWidth="1"/>
  </cols>
  <sheetData>
    <row r="1" spans="1:6" x14ac:dyDescent="0.3">
      <c r="A1" s="7" t="s">
        <v>141</v>
      </c>
      <c r="B1" s="7" t="s">
        <v>144</v>
      </c>
      <c r="C1" s="7" t="s">
        <v>130</v>
      </c>
      <c r="D1" s="7" t="s">
        <v>142</v>
      </c>
      <c r="E1" s="7" t="s">
        <v>145</v>
      </c>
      <c r="F1" s="7" t="s">
        <v>143</v>
      </c>
    </row>
    <row r="2" spans="1:6" x14ac:dyDescent="0.3">
      <c r="A2" s="14">
        <v>89</v>
      </c>
      <c r="B2" s="15" t="s">
        <v>146</v>
      </c>
      <c r="C2" s="14">
        <f>_xlfn.XLOOKUP(B2,'Produtos &amp; Marcas'!B:B,'Produtos &amp; Marcas'!A:A)</f>
        <v>4</v>
      </c>
      <c r="D2" s="14">
        <v>5</v>
      </c>
      <c r="E2" s="16" t="s">
        <v>210</v>
      </c>
      <c r="F2" s="14">
        <f>_xlfn.XLOOKUP(E2,'Pontos de Partida'!B:B,'Pontos de Partida'!A:A)</f>
        <v>4</v>
      </c>
    </row>
    <row r="3" spans="1:6" x14ac:dyDescent="0.3">
      <c r="A3" s="14">
        <v>89</v>
      </c>
      <c r="B3" s="15" t="s">
        <v>189</v>
      </c>
      <c r="C3" s="14">
        <f>_xlfn.XLOOKUP(B3,'Produtos &amp; Marcas'!B:B,'Produtos &amp; Marcas'!A:A)</f>
        <v>8</v>
      </c>
      <c r="D3" s="14">
        <v>1</v>
      </c>
      <c r="E3" s="16" t="s">
        <v>210</v>
      </c>
      <c r="F3" s="14">
        <f>_xlfn.XLOOKUP(E3,'Pontos de Partida'!B:B,'Pontos de Partida'!A:A)</f>
        <v>4</v>
      </c>
    </row>
    <row r="4" spans="1:6" x14ac:dyDescent="0.3">
      <c r="A4" s="14">
        <v>89</v>
      </c>
      <c r="B4" s="15" t="s">
        <v>148</v>
      </c>
      <c r="C4" s="14">
        <f>_xlfn.XLOOKUP(B4,'Produtos &amp; Marcas'!B:B,'Produtos &amp; Marcas'!A:A)</f>
        <v>14</v>
      </c>
      <c r="D4" s="14">
        <v>1</v>
      </c>
      <c r="E4" s="16" t="s">
        <v>210</v>
      </c>
      <c r="F4" s="14">
        <f>_xlfn.XLOOKUP(E4,'Pontos de Partida'!B:B,'Pontos de Partida'!A:A)</f>
        <v>4</v>
      </c>
    </row>
    <row r="5" spans="1:6" x14ac:dyDescent="0.3">
      <c r="A5" s="14">
        <v>89</v>
      </c>
      <c r="B5" s="15" t="s">
        <v>190</v>
      </c>
      <c r="C5" s="14">
        <f>_xlfn.XLOOKUP(B5,'Produtos &amp; Marcas'!B:B,'Produtos &amp; Marcas'!A:A)</f>
        <v>19</v>
      </c>
      <c r="D5" s="14">
        <v>2</v>
      </c>
      <c r="E5" s="16" t="s">
        <v>210</v>
      </c>
      <c r="F5" s="14">
        <f>_xlfn.XLOOKUP(E5,'Pontos de Partida'!B:B,'Pontos de Partida'!A:A)</f>
        <v>4</v>
      </c>
    </row>
    <row r="6" spans="1:6" x14ac:dyDescent="0.3">
      <c r="A6" s="14">
        <v>89</v>
      </c>
      <c r="B6" s="15" t="s">
        <v>191</v>
      </c>
      <c r="C6" s="14">
        <f>_xlfn.XLOOKUP(B6,'Produtos &amp; Marcas'!B:B,'Produtos &amp; Marcas'!A:A)</f>
        <v>24</v>
      </c>
      <c r="D6" s="14">
        <v>3</v>
      </c>
      <c r="E6" s="16" t="s">
        <v>210</v>
      </c>
      <c r="F6" s="14">
        <f>_xlfn.XLOOKUP(E6,'Pontos de Partida'!B:B,'Pontos de Partida'!A:A)</f>
        <v>4</v>
      </c>
    </row>
    <row r="7" spans="1:6" x14ac:dyDescent="0.3">
      <c r="A7" s="14">
        <v>89</v>
      </c>
      <c r="B7" s="15" t="s">
        <v>192</v>
      </c>
      <c r="C7" s="14">
        <f>_xlfn.XLOOKUP(B7,'Produtos &amp; Marcas'!B:B,'Produtos &amp; Marcas'!A:A)</f>
        <v>28</v>
      </c>
      <c r="D7" s="14">
        <v>2</v>
      </c>
      <c r="E7" s="16" t="s">
        <v>210</v>
      </c>
      <c r="F7" s="14">
        <f>_xlfn.XLOOKUP(E7,'Pontos de Partida'!B:B,'Pontos de Partida'!A:A)</f>
        <v>4</v>
      </c>
    </row>
    <row r="8" spans="1:6" x14ac:dyDescent="0.3">
      <c r="A8" s="14">
        <v>89</v>
      </c>
      <c r="B8" s="15" t="s">
        <v>193</v>
      </c>
      <c r="C8" s="14">
        <f>_xlfn.XLOOKUP(B8,'Produtos &amp; Marcas'!B:B,'Produtos &amp; Marcas'!A:A)</f>
        <v>34</v>
      </c>
      <c r="D8" s="14">
        <v>0.2</v>
      </c>
      <c r="E8" s="16" t="s">
        <v>210</v>
      </c>
      <c r="F8" s="14">
        <f>_xlfn.XLOOKUP(E8,'Pontos de Partida'!B:B,'Pontos de Partida'!A:A)</f>
        <v>4</v>
      </c>
    </row>
    <row r="9" spans="1:6" x14ac:dyDescent="0.3">
      <c r="A9" s="14">
        <v>89</v>
      </c>
      <c r="B9" s="15" t="s">
        <v>150</v>
      </c>
      <c r="C9" s="14">
        <f>_xlfn.XLOOKUP(B9,'Produtos &amp; Marcas'!B:B,'Produtos &amp; Marcas'!A:A)</f>
        <v>37</v>
      </c>
      <c r="D9" s="14">
        <v>1</v>
      </c>
      <c r="E9" s="16" t="s">
        <v>210</v>
      </c>
      <c r="F9" s="14">
        <f>_xlfn.XLOOKUP(E9,'Pontos de Partida'!B:B,'Pontos de Partida'!A:A)</f>
        <v>4</v>
      </c>
    </row>
    <row r="10" spans="1:6" x14ac:dyDescent="0.3">
      <c r="A10" s="14">
        <v>89</v>
      </c>
      <c r="B10" s="15" t="s">
        <v>147</v>
      </c>
      <c r="C10" s="14">
        <f>_xlfn.XLOOKUP(B10,'Produtos &amp; Marcas'!B:B,'Produtos &amp; Marcas'!A:A)</f>
        <v>11</v>
      </c>
      <c r="D10" s="14">
        <v>4</v>
      </c>
      <c r="E10" s="16" t="s">
        <v>210</v>
      </c>
      <c r="F10" s="14">
        <f>_xlfn.XLOOKUP(E10,'Pontos de Partida'!B:B,'Pontos de Partida'!A:A)</f>
        <v>4</v>
      </c>
    </row>
    <row r="11" spans="1:6" x14ac:dyDescent="0.3">
      <c r="A11" s="14">
        <v>89</v>
      </c>
      <c r="B11" s="15" t="s">
        <v>149</v>
      </c>
      <c r="C11" s="14">
        <f>_xlfn.XLOOKUP(B11,'Produtos &amp; Marcas'!B:B,'Produtos &amp; Marcas'!A:A)</f>
        <v>26</v>
      </c>
      <c r="D11" s="14">
        <v>2</v>
      </c>
      <c r="E11" s="16" t="s">
        <v>210</v>
      </c>
      <c r="F11" s="14">
        <f>_xlfn.XLOOKUP(E11,'Pontos de Partida'!B:B,'Pontos de Partida'!A:A)</f>
        <v>4</v>
      </c>
    </row>
    <row r="12" spans="1:6" x14ac:dyDescent="0.3">
      <c r="A12" s="14">
        <v>89</v>
      </c>
      <c r="B12" s="15" t="s">
        <v>194</v>
      </c>
      <c r="C12" s="14">
        <f>_xlfn.XLOOKUP(B12,'Produtos &amp; Marcas'!B:B,'Produtos &amp; Marcas'!A:A)</f>
        <v>32</v>
      </c>
      <c r="D12" s="14">
        <v>3</v>
      </c>
      <c r="E12" s="16" t="s">
        <v>210</v>
      </c>
      <c r="F12" s="14">
        <f>_xlfn.XLOOKUP(E12,'Pontos de Partida'!B:B,'Pontos de Partida'!A:A)</f>
        <v>4</v>
      </c>
    </row>
    <row r="13" spans="1:6" x14ac:dyDescent="0.3">
      <c r="A13" s="14">
        <f>A2+1</f>
        <v>90</v>
      </c>
      <c r="B13" s="15" t="s">
        <v>146</v>
      </c>
      <c r="C13" s="14">
        <f>_xlfn.XLOOKUP(B13,'Produtos &amp; Marcas'!B:B,'Produtos &amp; Marcas'!A:A)</f>
        <v>4</v>
      </c>
      <c r="D13" s="14">
        <v>5</v>
      </c>
      <c r="E13" s="16" t="s">
        <v>99</v>
      </c>
      <c r="F13" s="14">
        <f>_xlfn.XLOOKUP(E13,'Pontos de Partida'!B:B,'Pontos de Partida'!A:A)</f>
        <v>1</v>
      </c>
    </row>
    <row r="14" spans="1:6" x14ac:dyDescent="0.3">
      <c r="A14" s="14">
        <f t="shared" ref="A14:A77" si="0">A3+1</f>
        <v>90</v>
      </c>
      <c r="B14" s="15" t="s">
        <v>189</v>
      </c>
      <c r="C14" s="14">
        <f>_xlfn.XLOOKUP(B14,'Produtos &amp; Marcas'!B:B,'Produtos &amp; Marcas'!A:A)</f>
        <v>8</v>
      </c>
      <c r="D14" s="14">
        <v>1</v>
      </c>
      <c r="E14" s="16" t="s">
        <v>99</v>
      </c>
      <c r="F14" s="14">
        <f>_xlfn.XLOOKUP(E14,'Pontos de Partida'!B:B,'Pontos de Partida'!A:A)</f>
        <v>1</v>
      </c>
    </row>
    <row r="15" spans="1:6" x14ac:dyDescent="0.3">
      <c r="A15" s="14">
        <f t="shared" si="0"/>
        <v>90</v>
      </c>
      <c r="B15" s="15" t="s">
        <v>148</v>
      </c>
      <c r="C15" s="14">
        <f>_xlfn.XLOOKUP(B15,'Produtos &amp; Marcas'!B:B,'Produtos &amp; Marcas'!A:A)</f>
        <v>14</v>
      </c>
      <c r="D15" s="14">
        <v>1</v>
      </c>
      <c r="E15" s="16" t="s">
        <v>99</v>
      </c>
      <c r="F15" s="14">
        <f>_xlfn.XLOOKUP(E15,'Pontos de Partida'!B:B,'Pontos de Partida'!A:A)</f>
        <v>1</v>
      </c>
    </row>
    <row r="16" spans="1:6" x14ac:dyDescent="0.3">
      <c r="A16" s="14">
        <f t="shared" si="0"/>
        <v>90</v>
      </c>
      <c r="B16" s="15" t="s">
        <v>190</v>
      </c>
      <c r="C16" s="14">
        <f>_xlfn.XLOOKUP(B16,'Produtos &amp; Marcas'!B:B,'Produtos &amp; Marcas'!A:A)</f>
        <v>19</v>
      </c>
      <c r="D16" s="14">
        <v>2</v>
      </c>
      <c r="E16" s="16" t="s">
        <v>99</v>
      </c>
      <c r="F16" s="14">
        <f>_xlfn.XLOOKUP(E16,'Pontos de Partida'!B:B,'Pontos de Partida'!A:A)</f>
        <v>1</v>
      </c>
    </row>
    <row r="17" spans="1:6" x14ac:dyDescent="0.3">
      <c r="A17" s="14">
        <f t="shared" si="0"/>
        <v>90</v>
      </c>
      <c r="B17" s="15" t="s">
        <v>191</v>
      </c>
      <c r="C17" s="14">
        <f>_xlfn.XLOOKUP(B17,'Produtos &amp; Marcas'!B:B,'Produtos &amp; Marcas'!A:A)</f>
        <v>24</v>
      </c>
      <c r="D17" s="14">
        <v>3</v>
      </c>
      <c r="E17" s="16" t="s">
        <v>99</v>
      </c>
      <c r="F17" s="14">
        <f>_xlfn.XLOOKUP(E17,'Pontos de Partida'!B:B,'Pontos de Partida'!A:A)</f>
        <v>1</v>
      </c>
    </row>
    <row r="18" spans="1:6" x14ac:dyDescent="0.3">
      <c r="A18" s="14">
        <f t="shared" si="0"/>
        <v>90</v>
      </c>
      <c r="B18" s="15" t="s">
        <v>192</v>
      </c>
      <c r="C18" s="14">
        <f>_xlfn.XLOOKUP(B18,'Produtos &amp; Marcas'!B:B,'Produtos &amp; Marcas'!A:A)</f>
        <v>28</v>
      </c>
      <c r="D18" s="14">
        <v>2</v>
      </c>
      <c r="E18" s="16" t="s">
        <v>99</v>
      </c>
      <c r="F18" s="14">
        <f>_xlfn.XLOOKUP(E18,'Pontos de Partida'!B:B,'Pontos de Partida'!A:A)</f>
        <v>1</v>
      </c>
    </row>
    <row r="19" spans="1:6" x14ac:dyDescent="0.3">
      <c r="A19" s="14">
        <f t="shared" si="0"/>
        <v>90</v>
      </c>
      <c r="B19" s="15" t="s">
        <v>193</v>
      </c>
      <c r="C19" s="14">
        <f>_xlfn.XLOOKUP(B19,'Produtos &amp; Marcas'!B:B,'Produtos &amp; Marcas'!A:A)</f>
        <v>34</v>
      </c>
      <c r="D19" s="14">
        <v>0.2</v>
      </c>
      <c r="E19" s="16" t="s">
        <v>99</v>
      </c>
      <c r="F19" s="14">
        <f>_xlfn.XLOOKUP(E19,'Pontos de Partida'!B:B,'Pontos de Partida'!A:A)</f>
        <v>1</v>
      </c>
    </row>
    <row r="20" spans="1:6" x14ac:dyDescent="0.3">
      <c r="A20" s="14">
        <f t="shared" si="0"/>
        <v>90</v>
      </c>
      <c r="B20" s="15" t="s">
        <v>150</v>
      </c>
      <c r="C20" s="14">
        <f>_xlfn.XLOOKUP(B20,'Produtos &amp; Marcas'!B:B,'Produtos &amp; Marcas'!A:A)</f>
        <v>37</v>
      </c>
      <c r="D20" s="14">
        <v>1</v>
      </c>
      <c r="E20" s="16" t="s">
        <v>99</v>
      </c>
      <c r="F20" s="14">
        <f>_xlfn.XLOOKUP(E20,'Pontos de Partida'!B:B,'Pontos de Partida'!A:A)</f>
        <v>1</v>
      </c>
    </row>
    <row r="21" spans="1:6" x14ac:dyDescent="0.3">
      <c r="A21" s="14">
        <f t="shared" si="0"/>
        <v>90</v>
      </c>
      <c r="B21" s="15" t="s">
        <v>147</v>
      </c>
      <c r="C21" s="14">
        <f>_xlfn.XLOOKUP(B21,'Produtos &amp; Marcas'!B:B,'Produtos &amp; Marcas'!A:A)</f>
        <v>11</v>
      </c>
      <c r="D21" s="14">
        <v>4</v>
      </c>
      <c r="E21" s="16" t="s">
        <v>99</v>
      </c>
      <c r="F21" s="14">
        <f>_xlfn.XLOOKUP(E21,'Pontos de Partida'!B:B,'Pontos de Partida'!A:A)</f>
        <v>1</v>
      </c>
    </row>
    <row r="22" spans="1:6" x14ac:dyDescent="0.3">
      <c r="A22" s="14">
        <f t="shared" si="0"/>
        <v>90</v>
      </c>
      <c r="B22" s="15" t="s">
        <v>149</v>
      </c>
      <c r="C22" s="14">
        <f>_xlfn.XLOOKUP(B22,'Produtos &amp; Marcas'!B:B,'Produtos &amp; Marcas'!A:A)</f>
        <v>26</v>
      </c>
      <c r="D22" s="14">
        <v>2</v>
      </c>
      <c r="E22" s="16" t="s">
        <v>99</v>
      </c>
      <c r="F22" s="14">
        <f>_xlfn.XLOOKUP(E22,'Pontos de Partida'!B:B,'Pontos de Partida'!A:A)</f>
        <v>1</v>
      </c>
    </row>
    <row r="23" spans="1:6" x14ac:dyDescent="0.3">
      <c r="A23" s="14">
        <f t="shared" si="0"/>
        <v>90</v>
      </c>
      <c r="B23" s="15" t="s">
        <v>194</v>
      </c>
      <c r="C23" s="14">
        <f>_xlfn.XLOOKUP(B23,'Produtos &amp; Marcas'!B:B,'Produtos &amp; Marcas'!A:A)</f>
        <v>32</v>
      </c>
      <c r="D23" s="14">
        <v>3</v>
      </c>
      <c r="E23" s="16" t="s">
        <v>99</v>
      </c>
      <c r="F23" s="14">
        <f>_xlfn.XLOOKUP(E23,'Pontos de Partida'!B:B,'Pontos de Partida'!A:A)</f>
        <v>1</v>
      </c>
    </row>
    <row r="24" spans="1:6" x14ac:dyDescent="0.3">
      <c r="A24" s="14">
        <f t="shared" si="0"/>
        <v>91</v>
      </c>
      <c r="B24" s="15" t="s">
        <v>146</v>
      </c>
      <c r="C24" s="14">
        <f>_xlfn.XLOOKUP(B24,'Produtos &amp; Marcas'!B:B,'Produtos &amp; Marcas'!A:A)</f>
        <v>4</v>
      </c>
      <c r="D24" s="14">
        <v>5</v>
      </c>
      <c r="E24" s="16" t="s">
        <v>101</v>
      </c>
      <c r="F24" s="14">
        <f>_xlfn.XLOOKUP(E24,'Pontos de Partida'!B:B,'Pontos de Partida'!A:A)</f>
        <v>2</v>
      </c>
    </row>
    <row r="25" spans="1:6" x14ac:dyDescent="0.3">
      <c r="A25" s="14">
        <f t="shared" si="0"/>
        <v>91</v>
      </c>
      <c r="B25" s="15" t="s">
        <v>189</v>
      </c>
      <c r="C25" s="14">
        <f>_xlfn.XLOOKUP(B25,'Produtos &amp; Marcas'!B:B,'Produtos &amp; Marcas'!A:A)</f>
        <v>8</v>
      </c>
      <c r="D25" s="14">
        <v>1</v>
      </c>
      <c r="E25" s="16" t="s">
        <v>101</v>
      </c>
      <c r="F25" s="14">
        <f>_xlfn.XLOOKUP(E25,'Pontos de Partida'!B:B,'Pontos de Partida'!A:A)</f>
        <v>2</v>
      </c>
    </row>
    <row r="26" spans="1:6" x14ac:dyDescent="0.3">
      <c r="A26" s="14">
        <f t="shared" si="0"/>
        <v>91</v>
      </c>
      <c r="B26" s="15" t="s">
        <v>148</v>
      </c>
      <c r="C26" s="14">
        <f>_xlfn.XLOOKUP(B26,'Produtos &amp; Marcas'!B:B,'Produtos &amp; Marcas'!A:A)</f>
        <v>14</v>
      </c>
      <c r="D26" s="14">
        <v>1</v>
      </c>
      <c r="E26" s="16" t="s">
        <v>101</v>
      </c>
      <c r="F26" s="14">
        <f>_xlfn.XLOOKUP(E26,'Pontos de Partida'!B:B,'Pontos de Partida'!A:A)</f>
        <v>2</v>
      </c>
    </row>
    <row r="27" spans="1:6" x14ac:dyDescent="0.3">
      <c r="A27" s="14">
        <f t="shared" si="0"/>
        <v>91</v>
      </c>
      <c r="B27" s="15" t="s">
        <v>190</v>
      </c>
      <c r="C27" s="14">
        <f>_xlfn.XLOOKUP(B27,'Produtos &amp; Marcas'!B:B,'Produtos &amp; Marcas'!A:A)</f>
        <v>19</v>
      </c>
      <c r="D27" s="14">
        <v>2</v>
      </c>
      <c r="E27" s="16" t="s">
        <v>101</v>
      </c>
      <c r="F27" s="14">
        <f>_xlfn.XLOOKUP(E27,'Pontos de Partida'!B:B,'Pontos de Partida'!A:A)</f>
        <v>2</v>
      </c>
    </row>
    <row r="28" spans="1:6" x14ac:dyDescent="0.3">
      <c r="A28" s="14">
        <f t="shared" si="0"/>
        <v>91</v>
      </c>
      <c r="B28" s="15" t="s">
        <v>191</v>
      </c>
      <c r="C28" s="14">
        <f>_xlfn.XLOOKUP(B28,'Produtos &amp; Marcas'!B:B,'Produtos &amp; Marcas'!A:A)</f>
        <v>24</v>
      </c>
      <c r="D28" s="14">
        <v>3</v>
      </c>
      <c r="E28" s="16" t="s">
        <v>101</v>
      </c>
      <c r="F28" s="14">
        <f>_xlfn.XLOOKUP(E28,'Pontos de Partida'!B:B,'Pontos de Partida'!A:A)</f>
        <v>2</v>
      </c>
    </row>
    <row r="29" spans="1:6" x14ac:dyDescent="0.3">
      <c r="A29" s="14">
        <f t="shared" si="0"/>
        <v>91</v>
      </c>
      <c r="B29" s="15" t="s">
        <v>192</v>
      </c>
      <c r="C29" s="14">
        <f>_xlfn.XLOOKUP(B29,'Produtos &amp; Marcas'!B:B,'Produtos &amp; Marcas'!A:A)</f>
        <v>28</v>
      </c>
      <c r="D29" s="14">
        <v>2</v>
      </c>
      <c r="E29" s="16" t="s">
        <v>101</v>
      </c>
      <c r="F29" s="14">
        <f>_xlfn.XLOOKUP(E29,'Pontos de Partida'!B:B,'Pontos de Partida'!A:A)</f>
        <v>2</v>
      </c>
    </row>
    <row r="30" spans="1:6" x14ac:dyDescent="0.3">
      <c r="A30" s="14">
        <f t="shared" si="0"/>
        <v>91</v>
      </c>
      <c r="B30" s="15" t="s">
        <v>193</v>
      </c>
      <c r="C30" s="14">
        <f>_xlfn.XLOOKUP(B30,'Produtos &amp; Marcas'!B:B,'Produtos &amp; Marcas'!A:A)</f>
        <v>34</v>
      </c>
      <c r="D30" s="14">
        <v>0.2</v>
      </c>
      <c r="E30" s="16" t="s">
        <v>101</v>
      </c>
      <c r="F30" s="14">
        <f>_xlfn.XLOOKUP(E30,'Pontos de Partida'!B:B,'Pontos de Partida'!A:A)</f>
        <v>2</v>
      </c>
    </row>
    <row r="31" spans="1:6" x14ac:dyDescent="0.3">
      <c r="A31" s="14">
        <f t="shared" si="0"/>
        <v>91</v>
      </c>
      <c r="B31" s="15" t="s">
        <v>150</v>
      </c>
      <c r="C31" s="14">
        <f>_xlfn.XLOOKUP(B31,'Produtos &amp; Marcas'!B:B,'Produtos &amp; Marcas'!A:A)</f>
        <v>37</v>
      </c>
      <c r="D31" s="14">
        <v>1</v>
      </c>
      <c r="E31" s="16" t="s">
        <v>101</v>
      </c>
      <c r="F31" s="14">
        <f>_xlfn.XLOOKUP(E31,'Pontos de Partida'!B:B,'Pontos de Partida'!A:A)</f>
        <v>2</v>
      </c>
    </row>
    <row r="32" spans="1:6" x14ac:dyDescent="0.3">
      <c r="A32" s="14">
        <f t="shared" si="0"/>
        <v>91</v>
      </c>
      <c r="B32" s="15" t="s">
        <v>147</v>
      </c>
      <c r="C32" s="14">
        <f>_xlfn.XLOOKUP(B32,'Produtos &amp; Marcas'!B:B,'Produtos &amp; Marcas'!A:A)</f>
        <v>11</v>
      </c>
      <c r="D32" s="14">
        <v>4</v>
      </c>
      <c r="E32" s="16" t="s">
        <v>101</v>
      </c>
      <c r="F32" s="14">
        <f>_xlfn.XLOOKUP(E32,'Pontos de Partida'!B:B,'Pontos de Partida'!A:A)</f>
        <v>2</v>
      </c>
    </row>
    <row r="33" spans="1:6" x14ac:dyDescent="0.3">
      <c r="A33" s="14">
        <f t="shared" si="0"/>
        <v>91</v>
      </c>
      <c r="B33" s="15" t="s">
        <v>149</v>
      </c>
      <c r="C33" s="14">
        <f>_xlfn.XLOOKUP(B33,'Produtos &amp; Marcas'!B:B,'Produtos &amp; Marcas'!A:A)</f>
        <v>26</v>
      </c>
      <c r="D33" s="14">
        <v>2</v>
      </c>
      <c r="E33" s="16" t="s">
        <v>101</v>
      </c>
      <c r="F33" s="14">
        <f>_xlfn.XLOOKUP(E33,'Pontos de Partida'!B:B,'Pontos de Partida'!A:A)</f>
        <v>2</v>
      </c>
    </row>
    <row r="34" spans="1:6" x14ac:dyDescent="0.3">
      <c r="A34" s="14">
        <f t="shared" si="0"/>
        <v>91</v>
      </c>
      <c r="B34" s="15" t="s">
        <v>194</v>
      </c>
      <c r="C34" s="14">
        <f>_xlfn.XLOOKUP(B34,'Produtos &amp; Marcas'!B:B,'Produtos &amp; Marcas'!A:A)</f>
        <v>32</v>
      </c>
      <c r="D34" s="14">
        <v>3</v>
      </c>
      <c r="E34" s="16" t="s">
        <v>101</v>
      </c>
      <c r="F34" s="14">
        <f>_xlfn.XLOOKUP(E34,'Pontos de Partida'!B:B,'Pontos de Partida'!A:A)</f>
        <v>2</v>
      </c>
    </row>
    <row r="35" spans="1:6" x14ac:dyDescent="0.3">
      <c r="A35" s="14">
        <f t="shared" si="0"/>
        <v>92</v>
      </c>
      <c r="B35" s="15" t="s">
        <v>146</v>
      </c>
      <c r="C35" s="14">
        <f>_xlfn.XLOOKUP(B35,'Produtos &amp; Marcas'!B:B,'Produtos &amp; Marcas'!A:A)</f>
        <v>4</v>
      </c>
      <c r="D35" s="14">
        <v>5</v>
      </c>
      <c r="E35" s="16" t="s">
        <v>209</v>
      </c>
      <c r="F35" s="14">
        <f>_xlfn.XLOOKUP(E35,'Pontos de Partida'!B:B,'Pontos de Partida'!A:A)</f>
        <v>3</v>
      </c>
    </row>
    <row r="36" spans="1:6" x14ac:dyDescent="0.3">
      <c r="A36" s="14">
        <f t="shared" si="0"/>
        <v>92</v>
      </c>
      <c r="B36" s="15" t="s">
        <v>189</v>
      </c>
      <c r="C36" s="14">
        <f>_xlfn.XLOOKUP(B36,'Produtos &amp; Marcas'!B:B,'Produtos &amp; Marcas'!A:A)</f>
        <v>8</v>
      </c>
      <c r="D36" s="14">
        <v>1</v>
      </c>
      <c r="E36" s="16" t="s">
        <v>209</v>
      </c>
      <c r="F36" s="14">
        <f>_xlfn.XLOOKUP(E36,'Pontos de Partida'!B:B,'Pontos de Partida'!A:A)</f>
        <v>3</v>
      </c>
    </row>
    <row r="37" spans="1:6" x14ac:dyDescent="0.3">
      <c r="A37" s="14">
        <f t="shared" si="0"/>
        <v>92</v>
      </c>
      <c r="B37" s="15" t="s">
        <v>148</v>
      </c>
      <c r="C37" s="14">
        <f>_xlfn.XLOOKUP(B37,'Produtos &amp; Marcas'!B:B,'Produtos &amp; Marcas'!A:A)</f>
        <v>14</v>
      </c>
      <c r="D37" s="14">
        <v>1</v>
      </c>
      <c r="E37" s="16" t="s">
        <v>209</v>
      </c>
      <c r="F37" s="14">
        <f>_xlfn.XLOOKUP(E37,'Pontos de Partida'!B:B,'Pontos de Partida'!A:A)</f>
        <v>3</v>
      </c>
    </row>
    <row r="38" spans="1:6" x14ac:dyDescent="0.3">
      <c r="A38" s="14">
        <f t="shared" si="0"/>
        <v>92</v>
      </c>
      <c r="B38" s="15" t="s">
        <v>190</v>
      </c>
      <c r="C38" s="14">
        <f>_xlfn.XLOOKUP(B38,'Produtos &amp; Marcas'!B:B,'Produtos &amp; Marcas'!A:A)</f>
        <v>19</v>
      </c>
      <c r="D38" s="14">
        <v>2</v>
      </c>
      <c r="E38" s="16" t="s">
        <v>209</v>
      </c>
      <c r="F38" s="14">
        <f>_xlfn.XLOOKUP(E38,'Pontos de Partida'!B:B,'Pontos de Partida'!A:A)</f>
        <v>3</v>
      </c>
    </row>
    <row r="39" spans="1:6" x14ac:dyDescent="0.3">
      <c r="A39" s="14">
        <f t="shared" si="0"/>
        <v>92</v>
      </c>
      <c r="B39" s="15" t="s">
        <v>191</v>
      </c>
      <c r="C39" s="14">
        <f>_xlfn.XLOOKUP(B39,'Produtos &amp; Marcas'!B:B,'Produtos &amp; Marcas'!A:A)</f>
        <v>24</v>
      </c>
      <c r="D39" s="14">
        <v>3</v>
      </c>
      <c r="E39" s="16" t="s">
        <v>209</v>
      </c>
      <c r="F39" s="14">
        <f>_xlfn.XLOOKUP(E39,'Pontos de Partida'!B:B,'Pontos de Partida'!A:A)</f>
        <v>3</v>
      </c>
    </row>
    <row r="40" spans="1:6" x14ac:dyDescent="0.3">
      <c r="A40" s="14">
        <f t="shared" si="0"/>
        <v>92</v>
      </c>
      <c r="B40" s="15" t="s">
        <v>192</v>
      </c>
      <c r="C40" s="14">
        <f>_xlfn.XLOOKUP(B40,'Produtos &amp; Marcas'!B:B,'Produtos &amp; Marcas'!A:A)</f>
        <v>28</v>
      </c>
      <c r="D40" s="14">
        <v>2</v>
      </c>
      <c r="E40" s="16" t="s">
        <v>209</v>
      </c>
      <c r="F40" s="14">
        <f>_xlfn.XLOOKUP(E40,'Pontos de Partida'!B:B,'Pontos de Partida'!A:A)</f>
        <v>3</v>
      </c>
    </row>
    <row r="41" spans="1:6" x14ac:dyDescent="0.3">
      <c r="A41" s="14">
        <f t="shared" si="0"/>
        <v>92</v>
      </c>
      <c r="B41" s="15" t="s">
        <v>193</v>
      </c>
      <c r="C41" s="14">
        <f>_xlfn.XLOOKUP(B41,'Produtos &amp; Marcas'!B:B,'Produtos &amp; Marcas'!A:A)</f>
        <v>34</v>
      </c>
      <c r="D41" s="14">
        <v>0.2</v>
      </c>
      <c r="E41" s="16" t="s">
        <v>209</v>
      </c>
      <c r="F41" s="14">
        <f>_xlfn.XLOOKUP(E41,'Pontos de Partida'!B:B,'Pontos de Partida'!A:A)</f>
        <v>3</v>
      </c>
    </row>
    <row r="42" spans="1:6" x14ac:dyDescent="0.3">
      <c r="A42" s="14">
        <f t="shared" si="0"/>
        <v>92</v>
      </c>
      <c r="B42" s="15" t="s">
        <v>150</v>
      </c>
      <c r="C42" s="14">
        <f>_xlfn.XLOOKUP(B42,'Produtos &amp; Marcas'!B:B,'Produtos &amp; Marcas'!A:A)</f>
        <v>37</v>
      </c>
      <c r="D42" s="14">
        <v>1</v>
      </c>
      <c r="E42" s="16" t="s">
        <v>209</v>
      </c>
      <c r="F42" s="14">
        <f>_xlfn.XLOOKUP(E42,'Pontos de Partida'!B:B,'Pontos de Partida'!A:A)</f>
        <v>3</v>
      </c>
    </row>
    <row r="43" spans="1:6" x14ac:dyDescent="0.3">
      <c r="A43" s="14">
        <f t="shared" si="0"/>
        <v>92</v>
      </c>
      <c r="B43" s="15" t="s">
        <v>147</v>
      </c>
      <c r="C43" s="14">
        <f>_xlfn.XLOOKUP(B43,'Produtos &amp; Marcas'!B:B,'Produtos &amp; Marcas'!A:A)</f>
        <v>11</v>
      </c>
      <c r="D43" s="14">
        <v>4</v>
      </c>
      <c r="E43" s="16" t="s">
        <v>209</v>
      </c>
      <c r="F43" s="14">
        <f>_xlfn.XLOOKUP(E43,'Pontos de Partida'!B:B,'Pontos de Partida'!A:A)</f>
        <v>3</v>
      </c>
    </row>
    <row r="44" spans="1:6" x14ac:dyDescent="0.3">
      <c r="A44" s="14">
        <f t="shared" si="0"/>
        <v>92</v>
      </c>
      <c r="B44" s="15" t="s">
        <v>149</v>
      </c>
      <c r="C44" s="14">
        <f>_xlfn.XLOOKUP(B44,'Produtos &amp; Marcas'!B:B,'Produtos &amp; Marcas'!A:A)</f>
        <v>26</v>
      </c>
      <c r="D44" s="14">
        <v>2</v>
      </c>
      <c r="E44" s="16" t="s">
        <v>209</v>
      </c>
      <c r="F44" s="14">
        <f>_xlfn.XLOOKUP(E44,'Pontos de Partida'!B:B,'Pontos de Partida'!A:A)</f>
        <v>3</v>
      </c>
    </row>
    <row r="45" spans="1:6" x14ac:dyDescent="0.3">
      <c r="A45" s="14">
        <f t="shared" si="0"/>
        <v>92</v>
      </c>
      <c r="B45" s="15" t="s">
        <v>194</v>
      </c>
      <c r="C45" s="14">
        <f>_xlfn.XLOOKUP(B45,'Produtos &amp; Marcas'!B:B,'Produtos &amp; Marcas'!A:A)</f>
        <v>32</v>
      </c>
      <c r="D45" s="14">
        <v>3</v>
      </c>
      <c r="E45" s="16" t="s">
        <v>209</v>
      </c>
      <c r="F45" s="14">
        <f>_xlfn.XLOOKUP(E45,'Pontos de Partida'!B:B,'Pontos de Partida'!A:A)</f>
        <v>3</v>
      </c>
    </row>
    <row r="46" spans="1:6" x14ac:dyDescent="0.3">
      <c r="A46" s="14">
        <f t="shared" si="0"/>
        <v>93</v>
      </c>
      <c r="B46" s="15" t="s">
        <v>146</v>
      </c>
      <c r="C46" s="14">
        <f>_xlfn.XLOOKUP(B46,'Produtos &amp; Marcas'!B:B,'Produtos &amp; Marcas'!A:A)</f>
        <v>4</v>
      </c>
      <c r="D46" s="14">
        <v>5</v>
      </c>
      <c r="E46" s="16" t="s">
        <v>211</v>
      </c>
      <c r="F46" s="14">
        <f>_xlfn.XLOOKUP(E46,'Pontos de Partida'!B:B,'Pontos de Partida'!A:A)</f>
        <v>5</v>
      </c>
    </row>
    <row r="47" spans="1:6" x14ac:dyDescent="0.3">
      <c r="A47" s="14">
        <f t="shared" si="0"/>
        <v>93</v>
      </c>
      <c r="B47" s="15" t="s">
        <v>189</v>
      </c>
      <c r="C47" s="14">
        <f>_xlfn.XLOOKUP(B47,'Produtos &amp; Marcas'!B:B,'Produtos &amp; Marcas'!A:A)</f>
        <v>8</v>
      </c>
      <c r="D47" s="14">
        <v>1</v>
      </c>
      <c r="E47" s="16" t="s">
        <v>211</v>
      </c>
      <c r="F47" s="14">
        <f>_xlfn.XLOOKUP(E47,'Pontos de Partida'!B:B,'Pontos de Partida'!A:A)</f>
        <v>5</v>
      </c>
    </row>
    <row r="48" spans="1:6" x14ac:dyDescent="0.3">
      <c r="A48" s="14">
        <f t="shared" si="0"/>
        <v>93</v>
      </c>
      <c r="B48" s="15" t="s">
        <v>148</v>
      </c>
      <c r="C48" s="14">
        <f>_xlfn.XLOOKUP(B48,'Produtos &amp; Marcas'!B:B,'Produtos &amp; Marcas'!A:A)</f>
        <v>14</v>
      </c>
      <c r="D48" s="14">
        <v>1</v>
      </c>
      <c r="E48" s="16" t="s">
        <v>211</v>
      </c>
      <c r="F48" s="14">
        <f>_xlfn.XLOOKUP(E48,'Pontos de Partida'!B:B,'Pontos de Partida'!A:A)</f>
        <v>5</v>
      </c>
    </row>
    <row r="49" spans="1:6" x14ac:dyDescent="0.3">
      <c r="A49" s="14">
        <f t="shared" si="0"/>
        <v>93</v>
      </c>
      <c r="B49" s="15" t="s">
        <v>190</v>
      </c>
      <c r="C49" s="14">
        <f>_xlfn.XLOOKUP(B49,'Produtos &amp; Marcas'!B:B,'Produtos &amp; Marcas'!A:A)</f>
        <v>19</v>
      </c>
      <c r="D49" s="14">
        <v>2</v>
      </c>
      <c r="E49" s="16" t="s">
        <v>211</v>
      </c>
      <c r="F49" s="14">
        <f>_xlfn.XLOOKUP(E49,'Pontos de Partida'!B:B,'Pontos de Partida'!A:A)</f>
        <v>5</v>
      </c>
    </row>
    <row r="50" spans="1:6" x14ac:dyDescent="0.3">
      <c r="A50" s="14">
        <f t="shared" si="0"/>
        <v>93</v>
      </c>
      <c r="B50" s="15" t="s">
        <v>191</v>
      </c>
      <c r="C50" s="14">
        <f>_xlfn.XLOOKUP(B50,'Produtos &amp; Marcas'!B:B,'Produtos &amp; Marcas'!A:A)</f>
        <v>24</v>
      </c>
      <c r="D50" s="14">
        <v>3</v>
      </c>
      <c r="E50" s="16" t="s">
        <v>211</v>
      </c>
      <c r="F50" s="14">
        <f>_xlfn.XLOOKUP(E50,'Pontos de Partida'!B:B,'Pontos de Partida'!A:A)</f>
        <v>5</v>
      </c>
    </row>
    <row r="51" spans="1:6" x14ac:dyDescent="0.3">
      <c r="A51" s="14">
        <f t="shared" si="0"/>
        <v>93</v>
      </c>
      <c r="B51" s="15" t="s">
        <v>192</v>
      </c>
      <c r="C51" s="14">
        <f>_xlfn.XLOOKUP(B51,'Produtos &amp; Marcas'!B:B,'Produtos &amp; Marcas'!A:A)</f>
        <v>28</v>
      </c>
      <c r="D51" s="14">
        <v>2</v>
      </c>
      <c r="E51" s="16" t="s">
        <v>211</v>
      </c>
      <c r="F51" s="14">
        <f>_xlfn.XLOOKUP(E51,'Pontos de Partida'!B:B,'Pontos de Partida'!A:A)</f>
        <v>5</v>
      </c>
    </row>
    <row r="52" spans="1:6" x14ac:dyDescent="0.3">
      <c r="A52" s="14">
        <f t="shared" si="0"/>
        <v>93</v>
      </c>
      <c r="B52" s="15" t="s">
        <v>193</v>
      </c>
      <c r="C52" s="14">
        <f>_xlfn.XLOOKUP(B52,'Produtos &amp; Marcas'!B:B,'Produtos &amp; Marcas'!A:A)</f>
        <v>34</v>
      </c>
      <c r="D52" s="14">
        <v>0.2</v>
      </c>
      <c r="E52" s="16" t="s">
        <v>211</v>
      </c>
      <c r="F52" s="14">
        <f>_xlfn.XLOOKUP(E52,'Pontos de Partida'!B:B,'Pontos de Partida'!A:A)</f>
        <v>5</v>
      </c>
    </row>
    <row r="53" spans="1:6" x14ac:dyDescent="0.3">
      <c r="A53" s="14">
        <f t="shared" si="0"/>
        <v>93</v>
      </c>
      <c r="B53" s="15" t="s">
        <v>150</v>
      </c>
      <c r="C53" s="14">
        <f>_xlfn.XLOOKUP(B53,'Produtos &amp; Marcas'!B:B,'Produtos &amp; Marcas'!A:A)</f>
        <v>37</v>
      </c>
      <c r="D53" s="14">
        <v>1</v>
      </c>
      <c r="E53" s="16" t="s">
        <v>211</v>
      </c>
      <c r="F53" s="14">
        <f>_xlfn.XLOOKUP(E53,'Pontos de Partida'!B:B,'Pontos de Partida'!A:A)</f>
        <v>5</v>
      </c>
    </row>
    <row r="54" spans="1:6" x14ac:dyDescent="0.3">
      <c r="A54" s="14">
        <f t="shared" si="0"/>
        <v>93</v>
      </c>
      <c r="B54" s="15" t="s">
        <v>147</v>
      </c>
      <c r="C54" s="14">
        <f>_xlfn.XLOOKUP(B54,'Produtos &amp; Marcas'!B:B,'Produtos &amp; Marcas'!A:A)</f>
        <v>11</v>
      </c>
      <c r="D54" s="14">
        <v>4</v>
      </c>
      <c r="E54" s="16" t="s">
        <v>211</v>
      </c>
      <c r="F54" s="14">
        <f>_xlfn.XLOOKUP(E54,'Pontos de Partida'!B:B,'Pontos de Partida'!A:A)</f>
        <v>5</v>
      </c>
    </row>
    <row r="55" spans="1:6" x14ac:dyDescent="0.3">
      <c r="A55" s="14">
        <f t="shared" si="0"/>
        <v>93</v>
      </c>
      <c r="B55" s="15" t="s">
        <v>149</v>
      </c>
      <c r="C55" s="14">
        <f>_xlfn.XLOOKUP(B55,'Produtos &amp; Marcas'!B:B,'Produtos &amp; Marcas'!A:A)</f>
        <v>26</v>
      </c>
      <c r="D55" s="14">
        <v>2</v>
      </c>
      <c r="E55" s="16" t="s">
        <v>211</v>
      </c>
      <c r="F55" s="14">
        <f>_xlfn.XLOOKUP(E55,'Pontos de Partida'!B:B,'Pontos de Partida'!A:A)</f>
        <v>5</v>
      </c>
    </row>
    <row r="56" spans="1:6" x14ac:dyDescent="0.3">
      <c r="A56" s="14">
        <f t="shared" si="0"/>
        <v>93</v>
      </c>
      <c r="B56" s="15" t="s">
        <v>194</v>
      </c>
      <c r="C56" s="14">
        <f>_xlfn.XLOOKUP(B56,'Produtos &amp; Marcas'!B:B,'Produtos &amp; Marcas'!A:A)</f>
        <v>32</v>
      </c>
      <c r="D56" s="14">
        <v>3</v>
      </c>
      <c r="E56" s="16" t="s">
        <v>211</v>
      </c>
      <c r="F56" s="14">
        <f>_xlfn.XLOOKUP(E56,'Pontos de Partida'!B:B,'Pontos de Partida'!A:A)</f>
        <v>5</v>
      </c>
    </row>
    <row r="57" spans="1:6" x14ac:dyDescent="0.3">
      <c r="A57" s="14">
        <f t="shared" si="0"/>
        <v>94</v>
      </c>
      <c r="B57" s="15" t="s">
        <v>146</v>
      </c>
      <c r="C57" s="14">
        <f>_xlfn.XLOOKUP(B57,'Produtos &amp; Marcas'!B:B,'Produtos &amp; Marcas'!A:A)</f>
        <v>4</v>
      </c>
      <c r="D57" s="14">
        <v>5</v>
      </c>
      <c r="E57" s="16" t="s">
        <v>212</v>
      </c>
      <c r="F57" s="14">
        <f>_xlfn.XLOOKUP(E57,'Pontos de Partida'!B:B,'Pontos de Partida'!A:A)</f>
        <v>6</v>
      </c>
    </row>
    <row r="58" spans="1:6" x14ac:dyDescent="0.3">
      <c r="A58" s="14">
        <f t="shared" si="0"/>
        <v>94</v>
      </c>
      <c r="B58" s="15" t="s">
        <v>189</v>
      </c>
      <c r="C58" s="14">
        <f>_xlfn.XLOOKUP(B58,'Produtos &amp; Marcas'!B:B,'Produtos &amp; Marcas'!A:A)</f>
        <v>8</v>
      </c>
      <c r="D58" s="14">
        <v>1</v>
      </c>
      <c r="E58" s="16" t="s">
        <v>212</v>
      </c>
      <c r="F58" s="14">
        <f>_xlfn.XLOOKUP(E58,'Pontos de Partida'!B:B,'Pontos de Partida'!A:A)</f>
        <v>6</v>
      </c>
    </row>
    <row r="59" spans="1:6" x14ac:dyDescent="0.3">
      <c r="A59" s="14">
        <f t="shared" si="0"/>
        <v>94</v>
      </c>
      <c r="B59" s="15" t="s">
        <v>148</v>
      </c>
      <c r="C59" s="14">
        <f>_xlfn.XLOOKUP(B59,'Produtos &amp; Marcas'!B:B,'Produtos &amp; Marcas'!A:A)</f>
        <v>14</v>
      </c>
      <c r="D59" s="14">
        <v>1</v>
      </c>
      <c r="E59" s="16" t="s">
        <v>212</v>
      </c>
      <c r="F59" s="14">
        <f>_xlfn.XLOOKUP(E59,'Pontos de Partida'!B:B,'Pontos de Partida'!A:A)</f>
        <v>6</v>
      </c>
    </row>
    <row r="60" spans="1:6" x14ac:dyDescent="0.3">
      <c r="A60" s="14">
        <f t="shared" si="0"/>
        <v>94</v>
      </c>
      <c r="B60" s="15" t="s">
        <v>190</v>
      </c>
      <c r="C60" s="14">
        <f>_xlfn.XLOOKUP(B60,'Produtos &amp; Marcas'!B:B,'Produtos &amp; Marcas'!A:A)</f>
        <v>19</v>
      </c>
      <c r="D60" s="14">
        <v>2</v>
      </c>
      <c r="E60" s="16" t="s">
        <v>212</v>
      </c>
      <c r="F60" s="14">
        <f>_xlfn.XLOOKUP(E60,'Pontos de Partida'!B:B,'Pontos de Partida'!A:A)</f>
        <v>6</v>
      </c>
    </row>
    <row r="61" spans="1:6" x14ac:dyDescent="0.3">
      <c r="A61" s="14">
        <f t="shared" si="0"/>
        <v>94</v>
      </c>
      <c r="B61" s="15" t="s">
        <v>191</v>
      </c>
      <c r="C61" s="14">
        <f>_xlfn.XLOOKUP(B61,'Produtos &amp; Marcas'!B:B,'Produtos &amp; Marcas'!A:A)</f>
        <v>24</v>
      </c>
      <c r="D61" s="14">
        <v>3</v>
      </c>
      <c r="E61" s="16" t="s">
        <v>212</v>
      </c>
      <c r="F61" s="14">
        <f>_xlfn.XLOOKUP(E61,'Pontos de Partida'!B:B,'Pontos de Partida'!A:A)</f>
        <v>6</v>
      </c>
    </row>
    <row r="62" spans="1:6" x14ac:dyDescent="0.3">
      <c r="A62" s="14">
        <f t="shared" si="0"/>
        <v>94</v>
      </c>
      <c r="B62" s="15" t="s">
        <v>192</v>
      </c>
      <c r="C62" s="14">
        <f>_xlfn.XLOOKUP(B62,'Produtos &amp; Marcas'!B:B,'Produtos &amp; Marcas'!A:A)</f>
        <v>28</v>
      </c>
      <c r="D62" s="14">
        <v>2</v>
      </c>
      <c r="E62" s="16" t="s">
        <v>212</v>
      </c>
      <c r="F62" s="14">
        <f>_xlfn.XLOOKUP(E62,'Pontos de Partida'!B:B,'Pontos de Partida'!A:A)</f>
        <v>6</v>
      </c>
    </row>
    <row r="63" spans="1:6" x14ac:dyDescent="0.3">
      <c r="A63" s="14">
        <f t="shared" si="0"/>
        <v>94</v>
      </c>
      <c r="B63" s="15" t="s">
        <v>193</v>
      </c>
      <c r="C63" s="14">
        <f>_xlfn.XLOOKUP(B63,'Produtos &amp; Marcas'!B:B,'Produtos &amp; Marcas'!A:A)</f>
        <v>34</v>
      </c>
      <c r="D63" s="14">
        <v>0.2</v>
      </c>
      <c r="E63" s="16" t="s">
        <v>212</v>
      </c>
      <c r="F63" s="14">
        <f>_xlfn.XLOOKUP(E63,'Pontos de Partida'!B:B,'Pontos de Partida'!A:A)</f>
        <v>6</v>
      </c>
    </row>
    <row r="64" spans="1:6" x14ac:dyDescent="0.3">
      <c r="A64" s="14">
        <f t="shared" si="0"/>
        <v>94</v>
      </c>
      <c r="B64" s="15" t="s">
        <v>150</v>
      </c>
      <c r="C64" s="14">
        <f>_xlfn.XLOOKUP(B64,'Produtos &amp; Marcas'!B:B,'Produtos &amp; Marcas'!A:A)</f>
        <v>37</v>
      </c>
      <c r="D64" s="14">
        <v>1</v>
      </c>
      <c r="E64" s="16" t="s">
        <v>212</v>
      </c>
      <c r="F64" s="14">
        <f>_xlfn.XLOOKUP(E64,'Pontos de Partida'!B:B,'Pontos de Partida'!A:A)</f>
        <v>6</v>
      </c>
    </row>
    <row r="65" spans="1:6" x14ac:dyDescent="0.3">
      <c r="A65" s="14">
        <f t="shared" si="0"/>
        <v>94</v>
      </c>
      <c r="B65" s="15" t="s">
        <v>147</v>
      </c>
      <c r="C65" s="14">
        <f>_xlfn.XLOOKUP(B65,'Produtos &amp; Marcas'!B:B,'Produtos &amp; Marcas'!A:A)</f>
        <v>11</v>
      </c>
      <c r="D65" s="14">
        <v>4</v>
      </c>
      <c r="E65" s="16" t="s">
        <v>212</v>
      </c>
      <c r="F65" s="14">
        <f>_xlfn.XLOOKUP(E65,'Pontos de Partida'!B:B,'Pontos de Partida'!A:A)</f>
        <v>6</v>
      </c>
    </row>
    <row r="66" spans="1:6" x14ac:dyDescent="0.3">
      <c r="A66" s="14">
        <f t="shared" si="0"/>
        <v>94</v>
      </c>
      <c r="B66" s="15" t="s">
        <v>149</v>
      </c>
      <c r="C66" s="14">
        <f>_xlfn.XLOOKUP(B66,'Produtos &amp; Marcas'!B:B,'Produtos &amp; Marcas'!A:A)</f>
        <v>26</v>
      </c>
      <c r="D66" s="14">
        <v>2</v>
      </c>
      <c r="E66" s="16" t="s">
        <v>212</v>
      </c>
      <c r="F66" s="14">
        <f>_xlfn.XLOOKUP(E66,'Pontos de Partida'!B:B,'Pontos de Partida'!A:A)</f>
        <v>6</v>
      </c>
    </row>
    <row r="67" spans="1:6" x14ac:dyDescent="0.3">
      <c r="A67" s="14">
        <f t="shared" si="0"/>
        <v>94</v>
      </c>
      <c r="B67" s="15" t="s">
        <v>194</v>
      </c>
      <c r="C67" s="14">
        <f>_xlfn.XLOOKUP(B67,'Produtos &amp; Marcas'!B:B,'Produtos &amp; Marcas'!A:A)</f>
        <v>32</v>
      </c>
      <c r="D67" s="14">
        <v>3</v>
      </c>
      <c r="E67" s="16" t="s">
        <v>212</v>
      </c>
      <c r="F67" s="14">
        <f>_xlfn.XLOOKUP(E67,'Pontos de Partida'!B:B,'Pontos de Partida'!A:A)</f>
        <v>6</v>
      </c>
    </row>
    <row r="68" spans="1:6" x14ac:dyDescent="0.3">
      <c r="A68" s="14">
        <f t="shared" si="0"/>
        <v>95</v>
      </c>
      <c r="B68" s="15" t="s">
        <v>146</v>
      </c>
      <c r="C68" s="14">
        <f>_xlfn.XLOOKUP(B68,'Produtos &amp; Marcas'!B:B,'Produtos &amp; Marcas'!A:A)</f>
        <v>4</v>
      </c>
      <c r="D68" s="14">
        <v>5</v>
      </c>
      <c r="E68" s="16" t="s">
        <v>213</v>
      </c>
      <c r="F68" s="14">
        <f>_xlfn.XLOOKUP(E68,'Pontos de Partida'!B:B,'Pontos de Partida'!A:A)</f>
        <v>7</v>
      </c>
    </row>
    <row r="69" spans="1:6" x14ac:dyDescent="0.3">
      <c r="A69" s="14">
        <f t="shared" si="0"/>
        <v>95</v>
      </c>
      <c r="B69" s="15" t="s">
        <v>189</v>
      </c>
      <c r="C69" s="14">
        <f>_xlfn.XLOOKUP(B69,'Produtos &amp; Marcas'!B:B,'Produtos &amp; Marcas'!A:A)</f>
        <v>8</v>
      </c>
      <c r="D69" s="14">
        <v>1</v>
      </c>
      <c r="E69" s="16" t="s">
        <v>213</v>
      </c>
      <c r="F69" s="14">
        <f>_xlfn.XLOOKUP(E69,'Pontos de Partida'!B:B,'Pontos de Partida'!A:A)</f>
        <v>7</v>
      </c>
    </row>
    <row r="70" spans="1:6" x14ac:dyDescent="0.3">
      <c r="A70" s="14">
        <f t="shared" si="0"/>
        <v>95</v>
      </c>
      <c r="B70" s="15" t="s">
        <v>148</v>
      </c>
      <c r="C70" s="14">
        <f>_xlfn.XLOOKUP(B70,'Produtos &amp; Marcas'!B:B,'Produtos &amp; Marcas'!A:A)</f>
        <v>14</v>
      </c>
      <c r="D70" s="14">
        <v>1</v>
      </c>
      <c r="E70" s="16" t="s">
        <v>213</v>
      </c>
      <c r="F70" s="14">
        <f>_xlfn.XLOOKUP(E70,'Pontos de Partida'!B:B,'Pontos de Partida'!A:A)</f>
        <v>7</v>
      </c>
    </row>
    <row r="71" spans="1:6" x14ac:dyDescent="0.3">
      <c r="A71" s="14">
        <f t="shared" si="0"/>
        <v>95</v>
      </c>
      <c r="B71" s="15" t="s">
        <v>190</v>
      </c>
      <c r="C71" s="14">
        <f>_xlfn.XLOOKUP(B71,'Produtos &amp; Marcas'!B:B,'Produtos &amp; Marcas'!A:A)</f>
        <v>19</v>
      </c>
      <c r="D71" s="14">
        <v>2</v>
      </c>
      <c r="E71" s="16" t="s">
        <v>213</v>
      </c>
      <c r="F71" s="14">
        <f>_xlfn.XLOOKUP(E71,'Pontos de Partida'!B:B,'Pontos de Partida'!A:A)</f>
        <v>7</v>
      </c>
    </row>
    <row r="72" spans="1:6" x14ac:dyDescent="0.3">
      <c r="A72" s="14">
        <f t="shared" si="0"/>
        <v>95</v>
      </c>
      <c r="B72" s="15" t="s">
        <v>191</v>
      </c>
      <c r="C72" s="14">
        <f>_xlfn.XLOOKUP(B72,'Produtos &amp; Marcas'!B:B,'Produtos &amp; Marcas'!A:A)</f>
        <v>24</v>
      </c>
      <c r="D72" s="14">
        <v>3</v>
      </c>
      <c r="E72" s="16" t="s">
        <v>213</v>
      </c>
      <c r="F72" s="14">
        <f>_xlfn.XLOOKUP(E72,'Pontos de Partida'!B:B,'Pontos de Partida'!A:A)</f>
        <v>7</v>
      </c>
    </row>
    <row r="73" spans="1:6" x14ac:dyDescent="0.3">
      <c r="A73" s="14">
        <f t="shared" si="0"/>
        <v>95</v>
      </c>
      <c r="B73" s="15" t="s">
        <v>192</v>
      </c>
      <c r="C73" s="14">
        <f>_xlfn.XLOOKUP(B73,'Produtos &amp; Marcas'!B:B,'Produtos &amp; Marcas'!A:A)</f>
        <v>28</v>
      </c>
      <c r="D73" s="14">
        <v>2</v>
      </c>
      <c r="E73" s="16" t="s">
        <v>213</v>
      </c>
      <c r="F73" s="14">
        <f>_xlfn.XLOOKUP(E73,'Pontos de Partida'!B:B,'Pontos de Partida'!A:A)</f>
        <v>7</v>
      </c>
    </row>
    <row r="74" spans="1:6" x14ac:dyDescent="0.3">
      <c r="A74" s="14">
        <f t="shared" si="0"/>
        <v>95</v>
      </c>
      <c r="B74" s="15" t="s">
        <v>193</v>
      </c>
      <c r="C74" s="14">
        <f>_xlfn.XLOOKUP(B74,'Produtos &amp; Marcas'!B:B,'Produtos &amp; Marcas'!A:A)</f>
        <v>34</v>
      </c>
      <c r="D74" s="14">
        <v>0.2</v>
      </c>
      <c r="E74" s="16" t="s">
        <v>213</v>
      </c>
      <c r="F74" s="14">
        <f>_xlfn.XLOOKUP(E74,'Pontos de Partida'!B:B,'Pontos de Partida'!A:A)</f>
        <v>7</v>
      </c>
    </row>
    <row r="75" spans="1:6" x14ac:dyDescent="0.3">
      <c r="A75" s="14">
        <f t="shared" si="0"/>
        <v>95</v>
      </c>
      <c r="B75" s="15" t="s">
        <v>150</v>
      </c>
      <c r="C75" s="14">
        <f>_xlfn.XLOOKUP(B75,'Produtos &amp; Marcas'!B:B,'Produtos &amp; Marcas'!A:A)</f>
        <v>37</v>
      </c>
      <c r="D75" s="14">
        <v>1</v>
      </c>
      <c r="E75" s="16" t="s">
        <v>213</v>
      </c>
      <c r="F75" s="14">
        <f>_xlfn.XLOOKUP(E75,'Pontos de Partida'!B:B,'Pontos de Partida'!A:A)</f>
        <v>7</v>
      </c>
    </row>
    <row r="76" spans="1:6" x14ac:dyDescent="0.3">
      <c r="A76" s="14">
        <f t="shared" si="0"/>
        <v>95</v>
      </c>
      <c r="B76" s="15" t="s">
        <v>147</v>
      </c>
      <c r="C76" s="14">
        <f>_xlfn.XLOOKUP(B76,'Produtos &amp; Marcas'!B:B,'Produtos &amp; Marcas'!A:A)</f>
        <v>11</v>
      </c>
      <c r="D76" s="14">
        <v>4</v>
      </c>
      <c r="E76" s="16" t="s">
        <v>213</v>
      </c>
      <c r="F76" s="14">
        <f>_xlfn.XLOOKUP(E76,'Pontos de Partida'!B:B,'Pontos de Partida'!A:A)</f>
        <v>7</v>
      </c>
    </row>
    <row r="77" spans="1:6" x14ac:dyDescent="0.3">
      <c r="A77" s="14">
        <f t="shared" si="0"/>
        <v>95</v>
      </c>
      <c r="B77" s="15" t="s">
        <v>149</v>
      </c>
      <c r="C77" s="14">
        <f>_xlfn.XLOOKUP(B77,'Produtos &amp; Marcas'!B:B,'Produtos &amp; Marcas'!A:A)</f>
        <v>26</v>
      </c>
      <c r="D77" s="14">
        <v>2</v>
      </c>
      <c r="E77" s="16" t="s">
        <v>213</v>
      </c>
      <c r="F77" s="14">
        <f>_xlfn.XLOOKUP(E77,'Pontos de Partida'!B:B,'Pontos de Partida'!A:A)</f>
        <v>7</v>
      </c>
    </row>
    <row r="78" spans="1:6" x14ac:dyDescent="0.3">
      <c r="A78" s="14">
        <f t="shared" ref="A78:A141" si="1">A67+1</f>
        <v>95</v>
      </c>
      <c r="B78" s="15" t="s">
        <v>194</v>
      </c>
      <c r="C78" s="14">
        <f>_xlfn.XLOOKUP(B78,'Produtos &amp; Marcas'!B:B,'Produtos &amp; Marcas'!A:A)</f>
        <v>32</v>
      </c>
      <c r="D78" s="14">
        <v>3</v>
      </c>
      <c r="E78" s="16" t="s">
        <v>213</v>
      </c>
      <c r="F78" s="14">
        <f>_xlfn.XLOOKUP(E78,'Pontos de Partida'!B:B,'Pontos de Partida'!A:A)</f>
        <v>7</v>
      </c>
    </row>
    <row r="79" spans="1:6" x14ac:dyDescent="0.3">
      <c r="A79" s="14">
        <f t="shared" si="1"/>
        <v>96</v>
      </c>
      <c r="B79" s="15" t="s">
        <v>146</v>
      </c>
      <c r="C79" s="14">
        <f>_xlfn.XLOOKUP(B79,'Produtos &amp; Marcas'!B:B,'Produtos &amp; Marcas'!A:A)</f>
        <v>4</v>
      </c>
      <c r="D79" s="14">
        <v>5</v>
      </c>
      <c r="E79" s="16" t="s">
        <v>214</v>
      </c>
      <c r="F79" s="14">
        <f>_xlfn.XLOOKUP(E79,'Pontos de Partida'!B:B,'Pontos de Partida'!A:A)</f>
        <v>8</v>
      </c>
    </row>
    <row r="80" spans="1:6" x14ac:dyDescent="0.3">
      <c r="A80" s="14">
        <f t="shared" si="1"/>
        <v>96</v>
      </c>
      <c r="B80" s="15" t="s">
        <v>189</v>
      </c>
      <c r="C80" s="14">
        <f>_xlfn.XLOOKUP(B80,'Produtos &amp; Marcas'!B:B,'Produtos &amp; Marcas'!A:A)</f>
        <v>8</v>
      </c>
      <c r="D80" s="14">
        <v>1</v>
      </c>
      <c r="E80" s="16" t="s">
        <v>214</v>
      </c>
      <c r="F80" s="14">
        <f>_xlfn.XLOOKUP(E80,'Pontos de Partida'!B:B,'Pontos de Partida'!A:A)</f>
        <v>8</v>
      </c>
    </row>
    <row r="81" spans="1:6" x14ac:dyDescent="0.3">
      <c r="A81" s="14">
        <f t="shared" si="1"/>
        <v>96</v>
      </c>
      <c r="B81" s="15" t="s">
        <v>148</v>
      </c>
      <c r="C81" s="14">
        <f>_xlfn.XLOOKUP(B81,'Produtos &amp; Marcas'!B:B,'Produtos &amp; Marcas'!A:A)</f>
        <v>14</v>
      </c>
      <c r="D81" s="14">
        <v>1</v>
      </c>
      <c r="E81" s="16" t="s">
        <v>214</v>
      </c>
      <c r="F81" s="14">
        <f>_xlfn.XLOOKUP(E81,'Pontos de Partida'!B:B,'Pontos de Partida'!A:A)</f>
        <v>8</v>
      </c>
    </row>
    <row r="82" spans="1:6" x14ac:dyDescent="0.3">
      <c r="A82" s="14">
        <f t="shared" si="1"/>
        <v>96</v>
      </c>
      <c r="B82" s="15" t="s">
        <v>190</v>
      </c>
      <c r="C82" s="14">
        <f>_xlfn.XLOOKUP(B82,'Produtos &amp; Marcas'!B:B,'Produtos &amp; Marcas'!A:A)</f>
        <v>19</v>
      </c>
      <c r="D82" s="14">
        <v>2</v>
      </c>
      <c r="E82" s="16" t="s">
        <v>214</v>
      </c>
      <c r="F82" s="14">
        <f>_xlfn.XLOOKUP(E82,'Pontos de Partida'!B:B,'Pontos de Partida'!A:A)</f>
        <v>8</v>
      </c>
    </row>
    <row r="83" spans="1:6" x14ac:dyDescent="0.3">
      <c r="A83" s="14">
        <f t="shared" si="1"/>
        <v>96</v>
      </c>
      <c r="B83" s="15" t="s">
        <v>191</v>
      </c>
      <c r="C83" s="14">
        <f>_xlfn.XLOOKUP(B83,'Produtos &amp; Marcas'!B:B,'Produtos &amp; Marcas'!A:A)</f>
        <v>24</v>
      </c>
      <c r="D83" s="14">
        <v>3</v>
      </c>
      <c r="E83" s="16" t="s">
        <v>214</v>
      </c>
      <c r="F83" s="14">
        <f>_xlfn.XLOOKUP(E83,'Pontos de Partida'!B:B,'Pontos de Partida'!A:A)</f>
        <v>8</v>
      </c>
    </row>
    <row r="84" spans="1:6" x14ac:dyDescent="0.3">
      <c r="A84" s="14">
        <f t="shared" si="1"/>
        <v>96</v>
      </c>
      <c r="B84" s="15" t="s">
        <v>192</v>
      </c>
      <c r="C84" s="14">
        <f>_xlfn.XLOOKUP(B84,'Produtos &amp; Marcas'!B:B,'Produtos &amp; Marcas'!A:A)</f>
        <v>28</v>
      </c>
      <c r="D84" s="14">
        <v>2</v>
      </c>
      <c r="E84" s="16" t="s">
        <v>214</v>
      </c>
      <c r="F84" s="14">
        <f>_xlfn.XLOOKUP(E84,'Pontos de Partida'!B:B,'Pontos de Partida'!A:A)</f>
        <v>8</v>
      </c>
    </row>
    <row r="85" spans="1:6" x14ac:dyDescent="0.3">
      <c r="A85" s="14">
        <f t="shared" si="1"/>
        <v>96</v>
      </c>
      <c r="B85" s="15" t="s">
        <v>193</v>
      </c>
      <c r="C85" s="14">
        <f>_xlfn.XLOOKUP(B85,'Produtos &amp; Marcas'!B:B,'Produtos &amp; Marcas'!A:A)</f>
        <v>34</v>
      </c>
      <c r="D85" s="14">
        <v>0.2</v>
      </c>
      <c r="E85" s="16" t="s">
        <v>214</v>
      </c>
      <c r="F85" s="14">
        <f>_xlfn.XLOOKUP(E85,'Pontos de Partida'!B:B,'Pontos de Partida'!A:A)</f>
        <v>8</v>
      </c>
    </row>
    <row r="86" spans="1:6" x14ac:dyDescent="0.3">
      <c r="A86" s="14">
        <f t="shared" si="1"/>
        <v>96</v>
      </c>
      <c r="B86" s="15" t="s">
        <v>150</v>
      </c>
      <c r="C86" s="14">
        <f>_xlfn.XLOOKUP(B86,'Produtos &amp; Marcas'!B:B,'Produtos &amp; Marcas'!A:A)</f>
        <v>37</v>
      </c>
      <c r="D86" s="14">
        <v>1</v>
      </c>
      <c r="E86" s="16" t="s">
        <v>214</v>
      </c>
      <c r="F86" s="14">
        <f>_xlfn.XLOOKUP(E86,'Pontos de Partida'!B:B,'Pontos de Partida'!A:A)</f>
        <v>8</v>
      </c>
    </row>
    <row r="87" spans="1:6" x14ac:dyDescent="0.3">
      <c r="A87" s="14">
        <f t="shared" si="1"/>
        <v>96</v>
      </c>
      <c r="B87" s="15" t="s">
        <v>147</v>
      </c>
      <c r="C87" s="14">
        <f>_xlfn.XLOOKUP(B87,'Produtos &amp; Marcas'!B:B,'Produtos &amp; Marcas'!A:A)</f>
        <v>11</v>
      </c>
      <c r="D87" s="14">
        <v>4</v>
      </c>
      <c r="E87" s="16" t="s">
        <v>214</v>
      </c>
      <c r="F87" s="14">
        <f>_xlfn.XLOOKUP(E87,'Pontos de Partida'!B:B,'Pontos de Partida'!A:A)</f>
        <v>8</v>
      </c>
    </row>
    <row r="88" spans="1:6" x14ac:dyDescent="0.3">
      <c r="A88" s="14">
        <f t="shared" si="1"/>
        <v>96</v>
      </c>
      <c r="B88" s="15" t="s">
        <v>149</v>
      </c>
      <c r="C88" s="14">
        <f>_xlfn.XLOOKUP(B88,'Produtos &amp; Marcas'!B:B,'Produtos &amp; Marcas'!A:A)</f>
        <v>26</v>
      </c>
      <c r="D88" s="14">
        <v>2</v>
      </c>
      <c r="E88" s="16" t="s">
        <v>214</v>
      </c>
      <c r="F88" s="14">
        <f>_xlfn.XLOOKUP(E88,'Pontos de Partida'!B:B,'Pontos de Partida'!A:A)</f>
        <v>8</v>
      </c>
    </row>
    <row r="89" spans="1:6" x14ac:dyDescent="0.3">
      <c r="A89" s="14">
        <f t="shared" si="1"/>
        <v>96</v>
      </c>
      <c r="B89" s="15" t="s">
        <v>194</v>
      </c>
      <c r="C89" s="14">
        <f>_xlfn.XLOOKUP(B89,'Produtos &amp; Marcas'!B:B,'Produtos &amp; Marcas'!A:A)</f>
        <v>32</v>
      </c>
      <c r="D89" s="14">
        <v>3</v>
      </c>
      <c r="E89" s="16" t="s">
        <v>214</v>
      </c>
      <c r="F89" s="14">
        <f>_xlfn.XLOOKUP(E89,'Pontos de Partida'!B:B,'Pontos de Partida'!A:A)</f>
        <v>8</v>
      </c>
    </row>
    <row r="90" spans="1:6" x14ac:dyDescent="0.3">
      <c r="A90" s="14">
        <f t="shared" si="1"/>
        <v>97</v>
      </c>
      <c r="B90" s="15" t="s">
        <v>151</v>
      </c>
      <c r="C90" s="14">
        <f>_xlfn.XLOOKUP(B90,'Produtos &amp; Marcas'!B:B,'Produtos &amp; Marcas'!A:A)</f>
        <v>5</v>
      </c>
      <c r="D90" s="14">
        <v>3</v>
      </c>
      <c r="E90" s="16" t="s">
        <v>210</v>
      </c>
      <c r="F90" s="14">
        <f>_xlfn.XLOOKUP(E90,'Pontos de Partida'!B:B,'Pontos de Partida'!A:A)</f>
        <v>4</v>
      </c>
    </row>
    <row r="91" spans="1:6" x14ac:dyDescent="0.3">
      <c r="A91" s="14">
        <f t="shared" si="1"/>
        <v>97</v>
      </c>
      <c r="B91" s="15" t="s">
        <v>152</v>
      </c>
      <c r="C91" s="14">
        <f>_xlfn.XLOOKUP(B91,'Produtos &amp; Marcas'!B:B,'Produtos &amp; Marcas'!A:A)</f>
        <v>9</v>
      </c>
      <c r="D91" s="14">
        <v>0.2</v>
      </c>
      <c r="E91" s="16" t="s">
        <v>210</v>
      </c>
      <c r="F91" s="14">
        <f>_xlfn.XLOOKUP(E91,'Pontos de Partida'!B:B,'Pontos de Partida'!A:A)</f>
        <v>4</v>
      </c>
    </row>
    <row r="92" spans="1:6" x14ac:dyDescent="0.3">
      <c r="A92" s="14">
        <f t="shared" si="1"/>
        <v>97</v>
      </c>
      <c r="B92" s="15" t="s">
        <v>153</v>
      </c>
      <c r="C92" s="14">
        <f>_xlfn.XLOOKUP(B92,'Produtos &amp; Marcas'!B:B,'Produtos &amp; Marcas'!A:A)</f>
        <v>13</v>
      </c>
      <c r="D92" s="14">
        <v>1</v>
      </c>
      <c r="E92" s="16" t="s">
        <v>210</v>
      </c>
      <c r="F92" s="14">
        <f>_xlfn.XLOOKUP(E92,'Pontos de Partida'!B:B,'Pontos de Partida'!A:A)</f>
        <v>4</v>
      </c>
    </row>
    <row r="93" spans="1:6" x14ac:dyDescent="0.3">
      <c r="A93" s="14">
        <f t="shared" si="1"/>
        <v>97</v>
      </c>
      <c r="B93" s="15" t="s">
        <v>195</v>
      </c>
      <c r="C93" s="14">
        <f>_xlfn.XLOOKUP(B93,'Produtos &amp; Marcas'!B:B,'Produtos &amp; Marcas'!A:A)</f>
        <v>21</v>
      </c>
      <c r="D93" s="14">
        <v>2</v>
      </c>
      <c r="E93" s="16" t="s">
        <v>210</v>
      </c>
      <c r="F93" s="14">
        <f>_xlfn.XLOOKUP(E93,'Pontos de Partida'!B:B,'Pontos de Partida'!A:A)</f>
        <v>4</v>
      </c>
    </row>
    <row r="94" spans="1:6" x14ac:dyDescent="0.3">
      <c r="A94" s="14">
        <f t="shared" si="1"/>
        <v>97</v>
      </c>
      <c r="B94" s="15" t="s">
        <v>154</v>
      </c>
      <c r="C94" s="14">
        <f>_xlfn.XLOOKUP(B94,'Produtos &amp; Marcas'!B:B,'Produtos &amp; Marcas'!A:A)</f>
        <v>22</v>
      </c>
      <c r="D94" s="14">
        <v>2</v>
      </c>
      <c r="E94" s="16" t="s">
        <v>210</v>
      </c>
      <c r="F94" s="14">
        <f>_xlfn.XLOOKUP(E94,'Pontos de Partida'!B:B,'Pontos de Partida'!A:A)</f>
        <v>4</v>
      </c>
    </row>
    <row r="95" spans="1:6" x14ac:dyDescent="0.3">
      <c r="A95" s="14">
        <f t="shared" si="1"/>
        <v>97</v>
      </c>
      <c r="B95" s="15" t="s">
        <v>196</v>
      </c>
      <c r="C95" s="14">
        <f>_xlfn.XLOOKUP(B95,'Produtos &amp; Marcas'!B:B,'Produtos &amp; Marcas'!A:A)</f>
        <v>10</v>
      </c>
      <c r="D95" s="14">
        <v>2.5</v>
      </c>
      <c r="E95" s="16" t="s">
        <v>210</v>
      </c>
      <c r="F95" s="14">
        <f>_xlfn.XLOOKUP(E95,'Pontos de Partida'!B:B,'Pontos de Partida'!A:A)</f>
        <v>4</v>
      </c>
    </row>
    <row r="96" spans="1:6" x14ac:dyDescent="0.3">
      <c r="A96" s="14">
        <f t="shared" si="1"/>
        <v>97</v>
      </c>
      <c r="B96" s="15" t="s">
        <v>149</v>
      </c>
      <c r="C96" s="14">
        <f>_xlfn.XLOOKUP(B96,'Produtos &amp; Marcas'!B:B,'Produtos &amp; Marcas'!A:A)</f>
        <v>26</v>
      </c>
      <c r="D96" s="14">
        <v>3</v>
      </c>
      <c r="E96" s="16" t="s">
        <v>210</v>
      </c>
      <c r="F96" s="14">
        <f>_xlfn.XLOOKUP(E96,'Pontos de Partida'!B:B,'Pontos de Partida'!A:A)</f>
        <v>4</v>
      </c>
    </row>
    <row r="97" spans="1:6" x14ac:dyDescent="0.3">
      <c r="A97" s="14">
        <f t="shared" si="1"/>
        <v>97</v>
      </c>
      <c r="B97" s="15" t="s">
        <v>194</v>
      </c>
      <c r="C97" s="14">
        <f>_xlfn.XLOOKUP(B97,'Produtos &amp; Marcas'!B:B,'Produtos &amp; Marcas'!A:A)</f>
        <v>32</v>
      </c>
      <c r="D97" s="14">
        <v>1</v>
      </c>
      <c r="E97" s="16" t="s">
        <v>210</v>
      </c>
      <c r="F97" s="14">
        <f>_xlfn.XLOOKUP(E97,'Pontos de Partida'!B:B,'Pontos de Partida'!A:A)</f>
        <v>4</v>
      </c>
    </row>
    <row r="98" spans="1:6" x14ac:dyDescent="0.3">
      <c r="A98" s="14">
        <f t="shared" si="1"/>
        <v>97</v>
      </c>
      <c r="B98" s="15" t="s">
        <v>193</v>
      </c>
      <c r="C98" s="14">
        <f>_xlfn.XLOOKUP(B98,'Produtos &amp; Marcas'!B:B,'Produtos &amp; Marcas'!A:A)</f>
        <v>34</v>
      </c>
      <c r="D98" s="14">
        <v>0.4</v>
      </c>
      <c r="E98" s="16" t="s">
        <v>210</v>
      </c>
      <c r="F98" s="14">
        <f>_xlfn.XLOOKUP(E98,'Pontos de Partida'!B:B,'Pontos de Partida'!A:A)</f>
        <v>4</v>
      </c>
    </row>
    <row r="99" spans="1:6" x14ac:dyDescent="0.3">
      <c r="A99" s="14">
        <f t="shared" si="1"/>
        <v>97</v>
      </c>
      <c r="B99" s="15" t="s">
        <v>150</v>
      </c>
      <c r="C99" s="14">
        <f>_xlfn.XLOOKUP(B99,'Produtos &amp; Marcas'!B:B,'Produtos &amp; Marcas'!A:A)</f>
        <v>37</v>
      </c>
      <c r="D99" s="14">
        <v>0.7</v>
      </c>
      <c r="E99" s="16" t="s">
        <v>210</v>
      </c>
      <c r="F99" s="14">
        <f>_xlfn.XLOOKUP(E99,'Pontos de Partida'!B:B,'Pontos de Partida'!A:A)</f>
        <v>4</v>
      </c>
    </row>
    <row r="100" spans="1:6" x14ac:dyDescent="0.3">
      <c r="A100" s="14">
        <f t="shared" si="1"/>
        <v>97</v>
      </c>
      <c r="B100" s="15" t="s">
        <v>197</v>
      </c>
      <c r="C100" s="14">
        <f>_xlfn.XLOOKUP(B100,'Produtos &amp; Marcas'!B:B,'Produtos &amp; Marcas'!A:A)</f>
        <v>29</v>
      </c>
      <c r="D100" s="14">
        <v>1</v>
      </c>
      <c r="E100" s="16" t="s">
        <v>210</v>
      </c>
      <c r="F100" s="14">
        <f>_xlfn.XLOOKUP(E100,'Pontos de Partida'!B:B,'Pontos de Partida'!A:A)</f>
        <v>4</v>
      </c>
    </row>
    <row r="101" spans="1:6" x14ac:dyDescent="0.3">
      <c r="A101" s="14">
        <f t="shared" si="1"/>
        <v>98</v>
      </c>
      <c r="B101" s="15" t="s">
        <v>151</v>
      </c>
      <c r="C101" s="14">
        <f>_xlfn.XLOOKUP(B101,'Produtos &amp; Marcas'!B:B,'Produtos &amp; Marcas'!A:A)</f>
        <v>5</v>
      </c>
      <c r="D101" s="14">
        <v>3</v>
      </c>
      <c r="E101" s="16" t="s">
        <v>99</v>
      </c>
      <c r="F101" s="14">
        <f>_xlfn.XLOOKUP(E101,'Pontos de Partida'!B:B,'Pontos de Partida'!A:A)</f>
        <v>1</v>
      </c>
    </row>
    <row r="102" spans="1:6" x14ac:dyDescent="0.3">
      <c r="A102" s="14">
        <f t="shared" si="1"/>
        <v>98</v>
      </c>
      <c r="B102" s="15" t="s">
        <v>152</v>
      </c>
      <c r="C102" s="14">
        <f>_xlfn.XLOOKUP(B102,'Produtos &amp; Marcas'!B:B,'Produtos &amp; Marcas'!A:A)</f>
        <v>9</v>
      </c>
      <c r="D102" s="14">
        <v>0.2</v>
      </c>
      <c r="E102" s="16" t="s">
        <v>99</v>
      </c>
      <c r="F102" s="14">
        <f>_xlfn.XLOOKUP(E102,'Pontos de Partida'!B:B,'Pontos de Partida'!A:A)</f>
        <v>1</v>
      </c>
    </row>
    <row r="103" spans="1:6" x14ac:dyDescent="0.3">
      <c r="A103" s="14">
        <f t="shared" si="1"/>
        <v>98</v>
      </c>
      <c r="B103" s="15" t="s">
        <v>153</v>
      </c>
      <c r="C103" s="14">
        <f>_xlfn.XLOOKUP(B103,'Produtos &amp; Marcas'!B:B,'Produtos &amp; Marcas'!A:A)</f>
        <v>13</v>
      </c>
      <c r="D103" s="14">
        <v>1</v>
      </c>
      <c r="E103" s="16" t="s">
        <v>99</v>
      </c>
      <c r="F103" s="14">
        <f>_xlfn.XLOOKUP(E103,'Pontos de Partida'!B:B,'Pontos de Partida'!A:A)</f>
        <v>1</v>
      </c>
    </row>
    <row r="104" spans="1:6" x14ac:dyDescent="0.3">
      <c r="A104" s="14">
        <f t="shared" si="1"/>
        <v>98</v>
      </c>
      <c r="B104" s="15" t="s">
        <v>195</v>
      </c>
      <c r="C104" s="14">
        <f>_xlfn.XLOOKUP(B104,'Produtos &amp; Marcas'!B:B,'Produtos &amp; Marcas'!A:A)</f>
        <v>21</v>
      </c>
      <c r="D104" s="14">
        <v>2</v>
      </c>
      <c r="E104" s="16" t="s">
        <v>99</v>
      </c>
      <c r="F104" s="14">
        <f>_xlfn.XLOOKUP(E104,'Pontos de Partida'!B:B,'Pontos de Partida'!A:A)</f>
        <v>1</v>
      </c>
    </row>
    <row r="105" spans="1:6" x14ac:dyDescent="0.3">
      <c r="A105" s="14">
        <f t="shared" si="1"/>
        <v>98</v>
      </c>
      <c r="B105" s="15" t="s">
        <v>154</v>
      </c>
      <c r="C105" s="14">
        <f>_xlfn.XLOOKUP(B105,'Produtos &amp; Marcas'!B:B,'Produtos &amp; Marcas'!A:A)</f>
        <v>22</v>
      </c>
      <c r="D105" s="14">
        <v>2</v>
      </c>
      <c r="E105" s="16" t="s">
        <v>99</v>
      </c>
      <c r="F105" s="14">
        <f>_xlfn.XLOOKUP(E105,'Pontos de Partida'!B:B,'Pontos de Partida'!A:A)</f>
        <v>1</v>
      </c>
    </row>
    <row r="106" spans="1:6" x14ac:dyDescent="0.3">
      <c r="A106" s="14">
        <f t="shared" si="1"/>
        <v>98</v>
      </c>
      <c r="B106" s="15" t="s">
        <v>196</v>
      </c>
      <c r="C106" s="14">
        <f>_xlfn.XLOOKUP(B106,'Produtos &amp; Marcas'!B:B,'Produtos &amp; Marcas'!A:A)</f>
        <v>10</v>
      </c>
      <c r="D106" s="14">
        <v>2.5</v>
      </c>
      <c r="E106" s="16" t="s">
        <v>99</v>
      </c>
      <c r="F106" s="14">
        <f>_xlfn.XLOOKUP(E106,'Pontos de Partida'!B:B,'Pontos de Partida'!A:A)</f>
        <v>1</v>
      </c>
    </row>
    <row r="107" spans="1:6" x14ac:dyDescent="0.3">
      <c r="A107" s="14">
        <f t="shared" si="1"/>
        <v>98</v>
      </c>
      <c r="B107" s="15" t="s">
        <v>149</v>
      </c>
      <c r="C107" s="14">
        <f>_xlfn.XLOOKUP(B107,'Produtos &amp; Marcas'!B:B,'Produtos &amp; Marcas'!A:A)</f>
        <v>26</v>
      </c>
      <c r="D107" s="14">
        <v>3</v>
      </c>
      <c r="E107" s="16" t="s">
        <v>99</v>
      </c>
      <c r="F107" s="14">
        <f>_xlfn.XLOOKUP(E107,'Pontos de Partida'!B:B,'Pontos de Partida'!A:A)</f>
        <v>1</v>
      </c>
    </row>
    <row r="108" spans="1:6" x14ac:dyDescent="0.3">
      <c r="A108" s="14">
        <f t="shared" si="1"/>
        <v>98</v>
      </c>
      <c r="B108" s="15" t="s">
        <v>194</v>
      </c>
      <c r="C108" s="14">
        <f>_xlfn.XLOOKUP(B108,'Produtos &amp; Marcas'!B:B,'Produtos &amp; Marcas'!A:A)</f>
        <v>32</v>
      </c>
      <c r="D108" s="14">
        <v>1</v>
      </c>
      <c r="E108" s="16" t="s">
        <v>99</v>
      </c>
      <c r="F108" s="14">
        <f>_xlfn.XLOOKUP(E108,'Pontos de Partida'!B:B,'Pontos de Partida'!A:A)</f>
        <v>1</v>
      </c>
    </row>
    <row r="109" spans="1:6" x14ac:dyDescent="0.3">
      <c r="A109" s="14">
        <f t="shared" si="1"/>
        <v>98</v>
      </c>
      <c r="B109" s="15" t="s">
        <v>193</v>
      </c>
      <c r="C109" s="14">
        <f>_xlfn.XLOOKUP(B109,'Produtos &amp; Marcas'!B:B,'Produtos &amp; Marcas'!A:A)</f>
        <v>34</v>
      </c>
      <c r="D109" s="14">
        <v>0.4</v>
      </c>
      <c r="E109" s="16" t="s">
        <v>99</v>
      </c>
      <c r="F109" s="14">
        <f>_xlfn.XLOOKUP(E109,'Pontos de Partida'!B:B,'Pontos de Partida'!A:A)</f>
        <v>1</v>
      </c>
    </row>
    <row r="110" spans="1:6" x14ac:dyDescent="0.3">
      <c r="A110" s="14">
        <f t="shared" si="1"/>
        <v>98</v>
      </c>
      <c r="B110" s="15" t="s">
        <v>150</v>
      </c>
      <c r="C110" s="14">
        <f>_xlfn.XLOOKUP(B110,'Produtos &amp; Marcas'!B:B,'Produtos &amp; Marcas'!A:A)</f>
        <v>37</v>
      </c>
      <c r="D110" s="14">
        <v>0.7</v>
      </c>
      <c r="E110" s="16" t="s">
        <v>99</v>
      </c>
      <c r="F110" s="14">
        <f>_xlfn.XLOOKUP(E110,'Pontos de Partida'!B:B,'Pontos de Partida'!A:A)</f>
        <v>1</v>
      </c>
    </row>
    <row r="111" spans="1:6" x14ac:dyDescent="0.3">
      <c r="A111" s="14">
        <f t="shared" si="1"/>
        <v>98</v>
      </c>
      <c r="B111" s="15" t="s">
        <v>197</v>
      </c>
      <c r="C111" s="14">
        <f>_xlfn.XLOOKUP(B111,'Produtos &amp; Marcas'!B:B,'Produtos &amp; Marcas'!A:A)</f>
        <v>29</v>
      </c>
      <c r="D111" s="14">
        <v>1</v>
      </c>
      <c r="E111" s="16" t="s">
        <v>99</v>
      </c>
      <c r="F111" s="14">
        <f>_xlfn.XLOOKUP(E111,'Pontos de Partida'!B:B,'Pontos de Partida'!A:A)</f>
        <v>1</v>
      </c>
    </row>
    <row r="112" spans="1:6" x14ac:dyDescent="0.3">
      <c r="A112" s="14">
        <f t="shared" si="1"/>
        <v>99</v>
      </c>
      <c r="B112" s="15" t="s">
        <v>151</v>
      </c>
      <c r="C112" s="14">
        <f>_xlfn.XLOOKUP(B112,'Produtos &amp; Marcas'!B:B,'Produtos &amp; Marcas'!A:A)</f>
        <v>5</v>
      </c>
      <c r="D112" s="14">
        <v>3</v>
      </c>
      <c r="E112" s="16" t="s">
        <v>101</v>
      </c>
      <c r="F112" s="14">
        <f>_xlfn.XLOOKUP(E112,'Pontos de Partida'!B:B,'Pontos de Partida'!A:A)</f>
        <v>2</v>
      </c>
    </row>
    <row r="113" spans="1:6" x14ac:dyDescent="0.3">
      <c r="A113" s="14">
        <f t="shared" si="1"/>
        <v>99</v>
      </c>
      <c r="B113" s="15" t="s">
        <v>152</v>
      </c>
      <c r="C113" s="14">
        <f>_xlfn.XLOOKUP(B113,'Produtos &amp; Marcas'!B:B,'Produtos &amp; Marcas'!A:A)</f>
        <v>9</v>
      </c>
      <c r="D113" s="14">
        <v>0.2</v>
      </c>
      <c r="E113" s="16" t="s">
        <v>101</v>
      </c>
      <c r="F113" s="14">
        <f>_xlfn.XLOOKUP(E113,'Pontos de Partida'!B:B,'Pontos de Partida'!A:A)</f>
        <v>2</v>
      </c>
    </row>
    <row r="114" spans="1:6" x14ac:dyDescent="0.3">
      <c r="A114" s="14">
        <f t="shared" si="1"/>
        <v>99</v>
      </c>
      <c r="B114" s="15" t="s">
        <v>153</v>
      </c>
      <c r="C114" s="14">
        <f>_xlfn.XLOOKUP(B114,'Produtos &amp; Marcas'!B:B,'Produtos &amp; Marcas'!A:A)</f>
        <v>13</v>
      </c>
      <c r="D114" s="14">
        <v>1</v>
      </c>
      <c r="E114" s="16" t="s">
        <v>101</v>
      </c>
      <c r="F114" s="14">
        <f>_xlfn.XLOOKUP(E114,'Pontos de Partida'!B:B,'Pontos de Partida'!A:A)</f>
        <v>2</v>
      </c>
    </row>
    <row r="115" spans="1:6" x14ac:dyDescent="0.3">
      <c r="A115" s="14">
        <f t="shared" si="1"/>
        <v>99</v>
      </c>
      <c r="B115" s="15" t="s">
        <v>195</v>
      </c>
      <c r="C115" s="14">
        <f>_xlfn.XLOOKUP(B115,'Produtos &amp; Marcas'!B:B,'Produtos &amp; Marcas'!A:A)</f>
        <v>21</v>
      </c>
      <c r="D115" s="14">
        <v>2</v>
      </c>
      <c r="E115" s="16" t="s">
        <v>101</v>
      </c>
      <c r="F115" s="14">
        <f>_xlfn.XLOOKUP(E115,'Pontos de Partida'!B:B,'Pontos de Partida'!A:A)</f>
        <v>2</v>
      </c>
    </row>
    <row r="116" spans="1:6" x14ac:dyDescent="0.3">
      <c r="A116" s="14">
        <f t="shared" si="1"/>
        <v>99</v>
      </c>
      <c r="B116" s="15" t="s">
        <v>154</v>
      </c>
      <c r="C116" s="14">
        <f>_xlfn.XLOOKUP(B116,'Produtos &amp; Marcas'!B:B,'Produtos &amp; Marcas'!A:A)</f>
        <v>22</v>
      </c>
      <c r="D116" s="14">
        <v>2</v>
      </c>
      <c r="E116" s="16" t="s">
        <v>101</v>
      </c>
      <c r="F116" s="14">
        <f>_xlfn.XLOOKUP(E116,'Pontos de Partida'!B:B,'Pontos de Partida'!A:A)</f>
        <v>2</v>
      </c>
    </row>
    <row r="117" spans="1:6" x14ac:dyDescent="0.3">
      <c r="A117" s="14">
        <f t="shared" si="1"/>
        <v>99</v>
      </c>
      <c r="B117" s="15" t="s">
        <v>196</v>
      </c>
      <c r="C117" s="14">
        <f>_xlfn.XLOOKUP(B117,'Produtos &amp; Marcas'!B:B,'Produtos &amp; Marcas'!A:A)</f>
        <v>10</v>
      </c>
      <c r="D117" s="14">
        <v>2.5</v>
      </c>
      <c r="E117" s="16" t="s">
        <v>101</v>
      </c>
      <c r="F117" s="14">
        <f>_xlfn.XLOOKUP(E117,'Pontos de Partida'!B:B,'Pontos de Partida'!A:A)</f>
        <v>2</v>
      </c>
    </row>
    <row r="118" spans="1:6" x14ac:dyDescent="0.3">
      <c r="A118" s="14">
        <f t="shared" si="1"/>
        <v>99</v>
      </c>
      <c r="B118" s="15" t="s">
        <v>149</v>
      </c>
      <c r="C118" s="14">
        <f>_xlfn.XLOOKUP(B118,'Produtos &amp; Marcas'!B:B,'Produtos &amp; Marcas'!A:A)</f>
        <v>26</v>
      </c>
      <c r="D118" s="14">
        <v>3</v>
      </c>
      <c r="E118" s="16" t="s">
        <v>101</v>
      </c>
      <c r="F118" s="14">
        <f>_xlfn.XLOOKUP(E118,'Pontos de Partida'!B:B,'Pontos de Partida'!A:A)</f>
        <v>2</v>
      </c>
    </row>
    <row r="119" spans="1:6" x14ac:dyDescent="0.3">
      <c r="A119" s="14">
        <f t="shared" si="1"/>
        <v>99</v>
      </c>
      <c r="B119" s="15" t="s">
        <v>194</v>
      </c>
      <c r="C119" s="14">
        <f>_xlfn.XLOOKUP(B119,'Produtos &amp; Marcas'!B:B,'Produtos &amp; Marcas'!A:A)</f>
        <v>32</v>
      </c>
      <c r="D119" s="14">
        <v>1</v>
      </c>
      <c r="E119" s="16" t="s">
        <v>101</v>
      </c>
      <c r="F119" s="14">
        <f>_xlfn.XLOOKUP(E119,'Pontos de Partida'!B:B,'Pontos de Partida'!A:A)</f>
        <v>2</v>
      </c>
    </row>
    <row r="120" spans="1:6" x14ac:dyDescent="0.3">
      <c r="A120" s="14">
        <f t="shared" si="1"/>
        <v>99</v>
      </c>
      <c r="B120" s="15" t="s">
        <v>193</v>
      </c>
      <c r="C120" s="14">
        <f>_xlfn.XLOOKUP(B120,'Produtos &amp; Marcas'!B:B,'Produtos &amp; Marcas'!A:A)</f>
        <v>34</v>
      </c>
      <c r="D120" s="14">
        <v>0.4</v>
      </c>
      <c r="E120" s="16" t="s">
        <v>101</v>
      </c>
      <c r="F120" s="14">
        <f>_xlfn.XLOOKUP(E120,'Pontos de Partida'!B:B,'Pontos de Partida'!A:A)</f>
        <v>2</v>
      </c>
    </row>
    <row r="121" spans="1:6" x14ac:dyDescent="0.3">
      <c r="A121" s="14">
        <f t="shared" si="1"/>
        <v>99</v>
      </c>
      <c r="B121" s="15" t="s">
        <v>150</v>
      </c>
      <c r="C121" s="14">
        <f>_xlfn.XLOOKUP(B121,'Produtos &amp; Marcas'!B:B,'Produtos &amp; Marcas'!A:A)</f>
        <v>37</v>
      </c>
      <c r="D121" s="14">
        <v>0.7</v>
      </c>
      <c r="E121" s="16" t="s">
        <v>101</v>
      </c>
      <c r="F121" s="14">
        <f>_xlfn.XLOOKUP(E121,'Pontos de Partida'!B:B,'Pontos de Partida'!A:A)</f>
        <v>2</v>
      </c>
    </row>
    <row r="122" spans="1:6" x14ac:dyDescent="0.3">
      <c r="A122" s="14">
        <f t="shared" si="1"/>
        <v>99</v>
      </c>
      <c r="B122" s="15" t="s">
        <v>197</v>
      </c>
      <c r="C122" s="14">
        <f>_xlfn.XLOOKUP(B122,'Produtos &amp; Marcas'!B:B,'Produtos &amp; Marcas'!A:A)</f>
        <v>29</v>
      </c>
      <c r="D122" s="14">
        <v>1</v>
      </c>
      <c r="E122" s="16" t="s">
        <v>101</v>
      </c>
      <c r="F122" s="14">
        <f>_xlfn.XLOOKUP(E122,'Pontos de Partida'!B:B,'Pontos de Partida'!A:A)</f>
        <v>2</v>
      </c>
    </row>
    <row r="123" spans="1:6" x14ac:dyDescent="0.3">
      <c r="A123" s="14">
        <f t="shared" si="1"/>
        <v>100</v>
      </c>
      <c r="B123" s="15" t="s">
        <v>151</v>
      </c>
      <c r="C123" s="14">
        <f>_xlfn.XLOOKUP(B123,'Produtos &amp; Marcas'!B:B,'Produtos &amp; Marcas'!A:A)</f>
        <v>5</v>
      </c>
      <c r="D123" s="14">
        <v>3</v>
      </c>
      <c r="E123" s="16" t="s">
        <v>209</v>
      </c>
      <c r="F123" s="14">
        <f>_xlfn.XLOOKUP(E123,'Pontos de Partida'!B:B,'Pontos de Partida'!A:A)</f>
        <v>3</v>
      </c>
    </row>
    <row r="124" spans="1:6" x14ac:dyDescent="0.3">
      <c r="A124" s="14">
        <f t="shared" si="1"/>
        <v>100</v>
      </c>
      <c r="B124" s="15" t="s">
        <v>152</v>
      </c>
      <c r="C124" s="14">
        <f>_xlfn.XLOOKUP(B124,'Produtos &amp; Marcas'!B:B,'Produtos &amp; Marcas'!A:A)</f>
        <v>9</v>
      </c>
      <c r="D124" s="14">
        <v>0.2</v>
      </c>
      <c r="E124" s="16" t="s">
        <v>209</v>
      </c>
      <c r="F124" s="14">
        <f>_xlfn.XLOOKUP(E124,'Pontos de Partida'!B:B,'Pontos de Partida'!A:A)</f>
        <v>3</v>
      </c>
    </row>
    <row r="125" spans="1:6" x14ac:dyDescent="0.3">
      <c r="A125" s="14">
        <f t="shared" si="1"/>
        <v>100</v>
      </c>
      <c r="B125" s="15" t="s">
        <v>153</v>
      </c>
      <c r="C125" s="14">
        <f>_xlfn.XLOOKUP(B125,'Produtos &amp; Marcas'!B:B,'Produtos &amp; Marcas'!A:A)</f>
        <v>13</v>
      </c>
      <c r="D125" s="14">
        <v>1</v>
      </c>
      <c r="E125" s="16" t="s">
        <v>209</v>
      </c>
      <c r="F125" s="14">
        <f>_xlfn.XLOOKUP(E125,'Pontos de Partida'!B:B,'Pontos de Partida'!A:A)</f>
        <v>3</v>
      </c>
    </row>
    <row r="126" spans="1:6" x14ac:dyDescent="0.3">
      <c r="A126" s="14">
        <f t="shared" si="1"/>
        <v>100</v>
      </c>
      <c r="B126" s="15" t="s">
        <v>195</v>
      </c>
      <c r="C126" s="14">
        <f>_xlfn.XLOOKUP(B126,'Produtos &amp; Marcas'!B:B,'Produtos &amp; Marcas'!A:A)</f>
        <v>21</v>
      </c>
      <c r="D126" s="14">
        <v>2</v>
      </c>
      <c r="E126" s="16" t="s">
        <v>209</v>
      </c>
      <c r="F126" s="14">
        <f>_xlfn.XLOOKUP(E126,'Pontos de Partida'!B:B,'Pontos de Partida'!A:A)</f>
        <v>3</v>
      </c>
    </row>
    <row r="127" spans="1:6" x14ac:dyDescent="0.3">
      <c r="A127" s="14">
        <f t="shared" si="1"/>
        <v>100</v>
      </c>
      <c r="B127" s="15" t="s">
        <v>154</v>
      </c>
      <c r="C127" s="14">
        <f>_xlfn.XLOOKUP(B127,'Produtos &amp; Marcas'!B:B,'Produtos &amp; Marcas'!A:A)</f>
        <v>22</v>
      </c>
      <c r="D127" s="14">
        <v>2</v>
      </c>
      <c r="E127" s="16" t="s">
        <v>209</v>
      </c>
      <c r="F127" s="14">
        <f>_xlfn.XLOOKUP(E127,'Pontos de Partida'!B:B,'Pontos de Partida'!A:A)</f>
        <v>3</v>
      </c>
    </row>
    <row r="128" spans="1:6" x14ac:dyDescent="0.3">
      <c r="A128" s="14">
        <f t="shared" si="1"/>
        <v>100</v>
      </c>
      <c r="B128" s="15" t="s">
        <v>196</v>
      </c>
      <c r="C128" s="14">
        <f>_xlfn.XLOOKUP(B128,'Produtos &amp; Marcas'!B:B,'Produtos &amp; Marcas'!A:A)</f>
        <v>10</v>
      </c>
      <c r="D128" s="14">
        <v>2.5</v>
      </c>
      <c r="E128" s="16" t="s">
        <v>209</v>
      </c>
      <c r="F128" s="14">
        <f>_xlfn.XLOOKUP(E128,'Pontos de Partida'!B:B,'Pontos de Partida'!A:A)</f>
        <v>3</v>
      </c>
    </row>
    <row r="129" spans="1:6" x14ac:dyDescent="0.3">
      <c r="A129" s="14">
        <f t="shared" si="1"/>
        <v>100</v>
      </c>
      <c r="B129" s="15" t="s">
        <v>149</v>
      </c>
      <c r="C129" s="14">
        <f>_xlfn.XLOOKUP(B129,'Produtos &amp; Marcas'!B:B,'Produtos &amp; Marcas'!A:A)</f>
        <v>26</v>
      </c>
      <c r="D129" s="14">
        <v>3</v>
      </c>
      <c r="E129" s="16" t="s">
        <v>209</v>
      </c>
      <c r="F129" s="14">
        <f>_xlfn.XLOOKUP(E129,'Pontos de Partida'!B:B,'Pontos de Partida'!A:A)</f>
        <v>3</v>
      </c>
    </row>
    <row r="130" spans="1:6" x14ac:dyDescent="0.3">
      <c r="A130" s="14">
        <f t="shared" si="1"/>
        <v>100</v>
      </c>
      <c r="B130" s="15" t="s">
        <v>194</v>
      </c>
      <c r="C130" s="14">
        <f>_xlfn.XLOOKUP(B130,'Produtos &amp; Marcas'!B:B,'Produtos &amp; Marcas'!A:A)</f>
        <v>32</v>
      </c>
      <c r="D130" s="14">
        <v>1</v>
      </c>
      <c r="E130" s="16" t="s">
        <v>209</v>
      </c>
      <c r="F130" s="14">
        <f>_xlfn.XLOOKUP(E130,'Pontos de Partida'!B:B,'Pontos de Partida'!A:A)</f>
        <v>3</v>
      </c>
    </row>
    <row r="131" spans="1:6" x14ac:dyDescent="0.3">
      <c r="A131" s="14">
        <f t="shared" si="1"/>
        <v>100</v>
      </c>
      <c r="B131" s="15" t="s">
        <v>193</v>
      </c>
      <c r="C131" s="14">
        <f>_xlfn.XLOOKUP(B131,'Produtos &amp; Marcas'!B:B,'Produtos &amp; Marcas'!A:A)</f>
        <v>34</v>
      </c>
      <c r="D131" s="14">
        <v>0.4</v>
      </c>
      <c r="E131" s="16" t="s">
        <v>209</v>
      </c>
      <c r="F131" s="14">
        <f>_xlfn.XLOOKUP(E131,'Pontos de Partida'!B:B,'Pontos de Partida'!A:A)</f>
        <v>3</v>
      </c>
    </row>
    <row r="132" spans="1:6" x14ac:dyDescent="0.3">
      <c r="A132" s="14">
        <f t="shared" si="1"/>
        <v>100</v>
      </c>
      <c r="B132" s="15" t="s">
        <v>150</v>
      </c>
      <c r="C132" s="14">
        <f>_xlfn.XLOOKUP(B132,'Produtos &amp; Marcas'!B:B,'Produtos &amp; Marcas'!A:A)</f>
        <v>37</v>
      </c>
      <c r="D132" s="14">
        <v>0.7</v>
      </c>
      <c r="E132" s="16" t="s">
        <v>209</v>
      </c>
      <c r="F132" s="14">
        <f>_xlfn.XLOOKUP(E132,'Pontos de Partida'!B:B,'Pontos de Partida'!A:A)</f>
        <v>3</v>
      </c>
    </row>
    <row r="133" spans="1:6" x14ac:dyDescent="0.3">
      <c r="A133" s="14">
        <f t="shared" si="1"/>
        <v>100</v>
      </c>
      <c r="B133" s="15" t="s">
        <v>197</v>
      </c>
      <c r="C133" s="14">
        <f>_xlfn.XLOOKUP(B133,'Produtos &amp; Marcas'!B:B,'Produtos &amp; Marcas'!A:A)</f>
        <v>29</v>
      </c>
      <c r="D133" s="14">
        <v>1</v>
      </c>
      <c r="E133" s="16" t="s">
        <v>209</v>
      </c>
      <c r="F133" s="14">
        <f>_xlfn.XLOOKUP(E133,'Pontos de Partida'!B:B,'Pontos de Partida'!A:A)</f>
        <v>3</v>
      </c>
    </row>
    <row r="134" spans="1:6" x14ac:dyDescent="0.3">
      <c r="A134" s="14">
        <f t="shared" si="1"/>
        <v>101</v>
      </c>
      <c r="B134" s="15" t="s">
        <v>151</v>
      </c>
      <c r="C134" s="14">
        <f>_xlfn.XLOOKUP(B134,'Produtos &amp; Marcas'!B:B,'Produtos &amp; Marcas'!A:A)</f>
        <v>5</v>
      </c>
      <c r="D134" s="14">
        <v>3</v>
      </c>
      <c r="E134" s="16" t="s">
        <v>211</v>
      </c>
      <c r="F134" s="14">
        <f>_xlfn.XLOOKUP(E134,'Pontos de Partida'!B:B,'Pontos de Partida'!A:A)</f>
        <v>5</v>
      </c>
    </row>
    <row r="135" spans="1:6" x14ac:dyDescent="0.3">
      <c r="A135" s="14">
        <f t="shared" si="1"/>
        <v>101</v>
      </c>
      <c r="B135" s="15" t="s">
        <v>152</v>
      </c>
      <c r="C135" s="14">
        <f>_xlfn.XLOOKUP(B135,'Produtos &amp; Marcas'!B:B,'Produtos &amp; Marcas'!A:A)</f>
        <v>9</v>
      </c>
      <c r="D135" s="14">
        <v>0.2</v>
      </c>
      <c r="E135" s="16" t="s">
        <v>211</v>
      </c>
      <c r="F135" s="14">
        <f>_xlfn.XLOOKUP(E135,'Pontos de Partida'!B:B,'Pontos de Partida'!A:A)</f>
        <v>5</v>
      </c>
    </row>
    <row r="136" spans="1:6" x14ac:dyDescent="0.3">
      <c r="A136" s="14">
        <f t="shared" si="1"/>
        <v>101</v>
      </c>
      <c r="B136" s="15" t="s">
        <v>153</v>
      </c>
      <c r="C136" s="14">
        <f>_xlfn.XLOOKUP(B136,'Produtos &amp; Marcas'!B:B,'Produtos &amp; Marcas'!A:A)</f>
        <v>13</v>
      </c>
      <c r="D136" s="14">
        <v>1</v>
      </c>
      <c r="E136" s="16" t="s">
        <v>211</v>
      </c>
      <c r="F136" s="14">
        <f>_xlfn.XLOOKUP(E136,'Pontos de Partida'!B:B,'Pontos de Partida'!A:A)</f>
        <v>5</v>
      </c>
    </row>
    <row r="137" spans="1:6" x14ac:dyDescent="0.3">
      <c r="A137" s="14">
        <f t="shared" si="1"/>
        <v>101</v>
      </c>
      <c r="B137" s="15" t="s">
        <v>195</v>
      </c>
      <c r="C137" s="14">
        <f>_xlfn.XLOOKUP(B137,'Produtos &amp; Marcas'!B:B,'Produtos &amp; Marcas'!A:A)</f>
        <v>21</v>
      </c>
      <c r="D137" s="14">
        <v>2</v>
      </c>
      <c r="E137" s="16" t="s">
        <v>211</v>
      </c>
      <c r="F137" s="14">
        <f>_xlfn.XLOOKUP(E137,'Pontos de Partida'!B:B,'Pontos de Partida'!A:A)</f>
        <v>5</v>
      </c>
    </row>
    <row r="138" spans="1:6" x14ac:dyDescent="0.3">
      <c r="A138" s="14">
        <f t="shared" si="1"/>
        <v>101</v>
      </c>
      <c r="B138" s="15" t="s">
        <v>154</v>
      </c>
      <c r="C138" s="14">
        <f>_xlfn.XLOOKUP(B138,'Produtos &amp; Marcas'!B:B,'Produtos &amp; Marcas'!A:A)</f>
        <v>22</v>
      </c>
      <c r="D138" s="14">
        <v>2</v>
      </c>
      <c r="E138" s="16" t="s">
        <v>211</v>
      </c>
      <c r="F138" s="14">
        <f>_xlfn.XLOOKUP(E138,'Pontos de Partida'!B:B,'Pontos de Partida'!A:A)</f>
        <v>5</v>
      </c>
    </row>
    <row r="139" spans="1:6" x14ac:dyDescent="0.3">
      <c r="A139" s="14">
        <f t="shared" si="1"/>
        <v>101</v>
      </c>
      <c r="B139" s="15" t="s">
        <v>196</v>
      </c>
      <c r="C139" s="14">
        <f>_xlfn.XLOOKUP(B139,'Produtos &amp; Marcas'!B:B,'Produtos &amp; Marcas'!A:A)</f>
        <v>10</v>
      </c>
      <c r="D139" s="14">
        <v>2.5</v>
      </c>
      <c r="E139" s="16" t="s">
        <v>211</v>
      </c>
      <c r="F139" s="14">
        <f>_xlfn.XLOOKUP(E139,'Pontos de Partida'!B:B,'Pontos de Partida'!A:A)</f>
        <v>5</v>
      </c>
    </row>
    <row r="140" spans="1:6" x14ac:dyDescent="0.3">
      <c r="A140" s="14">
        <f t="shared" si="1"/>
        <v>101</v>
      </c>
      <c r="B140" s="15" t="s">
        <v>149</v>
      </c>
      <c r="C140" s="14">
        <f>_xlfn.XLOOKUP(B140,'Produtos &amp; Marcas'!B:B,'Produtos &amp; Marcas'!A:A)</f>
        <v>26</v>
      </c>
      <c r="D140" s="14">
        <v>3</v>
      </c>
      <c r="E140" s="16" t="s">
        <v>211</v>
      </c>
      <c r="F140" s="14">
        <f>_xlfn.XLOOKUP(E140,'Pontos de Partida'!B:B,'Pontos de Partida'!A:A)</f>
        <v>5</v>
      </c>
    </row>
    <row r="141" spans="1:6" x14ac:dyDescent="0.3">
      <c r="A141" s="14">
        <f t="shared" si="1"/>
        <v>101</v>
      </c>
      <c r="B141" s="15" t="s">
        <v>194</v>
      </c>
      <c r="C141" s="14">
        <f>_xlfn.XLOOKUP(B141,'Produtos &amp; Marcas'!B:B,'Produtos &amp; Marcas'!A:A)</f>
        <v>32</v>
      </c>
      <c r="D141" s="14">
        <v>1</v>
      </c>
      <c r="E141" s="16" t="s">
        <v>211</v>
      </c>
      <c r="F141" s="14">
        <f>_xlfn.XLOOKUP(E141,'Pontos de Partida'!B:B,'Pontos de Partida'!A:A)</f>
        <v>5</v>
      </c>
    </row>
    <row r="142" spans="1:6" x14ac:dyDescent="0.3">
      <c r="A142" s="14">
        <f t="shared" ref="A142:A177" si="2">A131+1</f>
        <v>101</v>
      </c>
      <c r="B142" s="15" t="s">
        <v>193</v>
      </c>
      <c r="C142" s="14">
        <f>_xlfn.XLOOKUP(B142,'Produtos &amp; Marcas'!B:B,'Produtos &amp; Marcas'!A:A)</f>
        <v>34</v>
      </c>
      <c r="D142" s="14">
        <v>0.4</v>
      </c>
      <c r="E142" s="16" t="s">
        <v>211</v>
      </c>
      <c r="F142" s="14">
        <f>_xlfn.XLOOKUP(E142,'Pontos de Partida'!B:B,'Pontos de Partida'!A:A)</f>
        <v>5</v>
      </c>
    </row>
    <row r="143" spans="1:6" x14ac:dyDescent="0.3">
      <c r="A143" s="14">
        <f t="shared" si="2"/>
        <v>101</v>
      </c>
      <c r="B143" s="15" t="s">
        <v>150</v>
      </c>
      <c r="C143" s="14">
        <f>_xlfn.XLOOKUP(B143,'Produtos &amp; Marcas'!B:B,'Produtos &amp; Marcas'!A:A)</f>
        <v>37</v>
      </c>
      <c r="D143" s="14">
        <v>0.7</v>
      </c>
      <c r="E143" s="16" t="s">
        <v>211</v>
      </c>
      <c r="F143" s="14">
        <f>_xlfn.XLOOKUP(E143,'Pontos de Partida'!B:B,'Pontos de Partida'!A:A)</f>
        <v>5</v>
      </c>
    </row>
    <row r="144" spans="1:6" x14ac:dyDescent="0.3">
      <c r="A144" s="14">
        <f t="shared" si="2"/>
        <v>101</v>
      </c>
      <c r="B144" s="15" t="s">
        <v>197</v>
      </c>
      <c r="C144" s="14">
        <f>_xlfn.XLOOKUP(B144,'Produtos &amp; Marcas'!B:B,'Produtos &amp; Marcas'!A:A)</f>
        <v>29</v>
      </c>
      <c r="D144" s="14">
        <v>1</v>
      </c>
      <c r="E144" s="16" t="s">
        <v>211</v>
      </c>
      <c r="F144" s="14">
        <f>_xlfn.XLOOKUP(E144,'Pontos de Partida'!B:B,'Pontos de Partida'!A:A)</f>
        <v>5</v>
      </c>
    </row>
    <row r="145" spans="1:6" x14ac:dyDescent="0.3">
      <c r="A145" s="14">
        <f t="shared" si="2"/>
        <v>102</v>
      </c>
      <c r="B145" s="15" t="s">
        <v>151</v>
      </c>
      <c r="C145" s="14">
        <f>_xlfn.XLOOKUP(B145,'Produtos &amp; Marcas'!B:B,'Produtos &amp; Marcas'!A:A)</f>
        <v>5</v>
      </c>
      <c r="D145" s="14">
        <v>3</v>
      </c>
      <c r="E145" s="16" t="s">
        <v>212</v>
      </c>
      <c r="F145" s="14">
        <f>_xlfn.XLOOKUP(E145,'Pontos de Partida'!B:B,'Pontos de Partida'!A:A)</f>
        <v>6</v>
      </c>
    </row>
    <row r="146" spans="1:6" x14ac:dyDescent="0.3">
      <c r="A146" s="14">
        <f t="shared" si="2"/>
        <v>102</v>
      </c>
      <c r="B146" s="15" t="s">
        <v>152</v>
      </c>
      <c r="C146" s="14">
        <f>_xlfn.XLOOKUP(B146,'Produtos &amp; Marcas'!B:B,'Produtos &amp; Marcas'!A:A)</f>
        <v>9</v>
      </c>
      <c r="D146" s="14">
        <v>0.2</v>
      </c>
      <c r="E146" s="16" t="s">
        <v>212</v>
      </c>
      <c r="F146" s="14">
        <f>_xlfn.XLOOKUP(E146,'Pontos de Partida'!B:B,'Pontos de Partida'!A:A)</f>
        <v>6</v>
      </c>
    </row>
    <row r="147" spans="1:6" x14ac:dyDescent="0.3">
      <c r="A147" s="14">
        <f t="shared" si="2"/>
        <v>102</v>
      </c>
      <c r="B147" s="15" t="s">
        <v>153</v>
      </c>
      <c r="C147" s="14">
        <f>_xlfn.XLOOKUP(B147,'Produtos &amp; Marcas'!B:B,'Produtos &amp; Marcas'!A:A)</f>
        <v>13</v>
      </c>
      <c r="D147" s="14">
        <v>1</v>
      </c>
      <c r="E147" s="16" t="s">
        <v>212</v>
      </c>
      <c r="F147" s="14">
        <f>_xlfn.XLOOKUP(E147,'Pontos de Partida'!B:B,'Pontos de Partida'!A:A)</f>
        <v>6</v>
      </c>
    </row>
    <row r="148" spans="1:6" x14ac:dyDescent="0.3">
      <c r="A148" s="14">
        <f t="shared" si="2"/>
        <v>102</v>
      </c>
      <c r="B148" s="15" t="s">
        <v>195</v>
      </c>
      <c r="C148" s="14">
        <f>_xlfn.XLOOKUP(B148,'Produtos &amp; Marcas'!B:B,'Produtos &amp; Marcas'!A:A)</f>
        <v>21</v>
      </c>
      <c r="D148" s="14">
        <v>2</v>
      </c>
      <c r="E148" s="16" t="s">
        <v>212</v>
      </c>
      <c r="F148" s="14">
        <f>_xlfn.XLOOKUP(E148,'Pontos de Partida'!B:B,'Pontos de Partida'!A:A)</f>
        <v>6</v>
      </c>
    </row>
    <row r="149" spans="1:6" x14ac:dyDescent="0.3">
      <c r="A149" s="14">
        <f t="shared" si="2"/>
        <v>102</v>
      </c>
      <c r="B149" s="15" t="s">
        <v>154</v>
      </c>
      <c r="C149" s="14">
        <f>_xlfn.XLOOKUP(B149,'Produtos &amp; Marcas'!B:B,'Produtos &amp; Marcas'!A:A)</f>
        <v>22</v>
      </c>
      <c r="D149" s="14">
        <v>2</v>
      </c>
      <c r="E149" s="16" t="s">
        <v>212</v>
      </c>
      <c r="F149" s="14">
        <f>_xlfn.XLOOKUP(E149,'Pontos de Partida'!B:B,'Pontos de Partida'!A:A)</f>
        <v>6</v>
      </c>
    </row>
    <row r="150" spans="1:6" x14ac:dyDescent="0.3">
      <c r="A150" s="14">
        <f t="shared" si="2"/>
        <v>102</v>
      </c>
      <c r="B150" s="15" t="s">
        <v>196</v>
      </c>
      <c r="C150" s="14">
        <f>_xlfn.XLOOKUP(B150,'Produtos &amp; Marcas'!B:B,'Produtos &amp; Marcas'!A:A)</f>
        <v>10</v>
      </c>
      <c r="D150" s="14">
        <v>2.5</v>
      </c>
      <c r="E150" s="16" t="s">
        <v>212</v>
      </c>
      <c r="F150" s="14">
        <f>_xlfn.XLOOKUP(E150,'Pontos de Partida'!B:B,'Pontos de Partida'!A:A)</f>
        <v>6</v>
      </c>
    </row>
    <row r="151" spans="1:6" x14ac:dyDescent="0.3">
      <c r="A151" s="14">
        <f t="shared" si="2"/>
        <v>102</v>
      </c>
      <c r="B151" s="15" t="s">
        <v>149</v>
      </c>
      <c r="C151" s="14">
        <f>_xlfn.XLOOKUP(B151,'Produtos &amp; Marcas'!B:B,'Produtos &amp; Marcas'!A:A)</f>
        <v>26</v>
      </c>
      <c r="D151" s="14">
        <v>3</v>
      </c>
      <c r="E151" s="16" t="s">
        <v>212</v>
      </c>
      <c r="F151" s="14">
        <f>_xlfn.XLOOKUP(E151,'Pontos de Partida'!B:B,'Pontos de Partida'!A:A)</f>
        <v>6</v>
      </c>
    </row>
    <row r="152" spans="1:6" x14ac:dyDescent="0.3">
      <c r="A152" s="14">
        <f t="shared" si="2"/>
        <v>102</v>
      </c>
      <c r="B152" s="15" t="s">
        <v>194</v>
      </c>
      <c r="C152" s="14">
        <f>_xlfn.XLOOKUP(B152,'Produtos &amp; Marcas'!B:B,'Produtos &amp; Marcas'!A:A)</f>
        <v>32</v>
      </c>
      <c r="D152" s="14">
        <v>1</v>
      </c>
      <c r="E152" s="16" t="s">
        <v>212</v>
      </c>
      <c r="F152" s="14">
        <f>_xlfn.XLOOKUP(E152,'Pontos de Partida'!B:B,'Pontos de Partida'!A:A)</f>
        <v>6</v>
      </c>
    </row>
    <row r="153" spans="1:6" x14ac:dyDescent="0.3">
      <c r="A153" s="14">
        <f t="shared" si="2"/>
        <v>102</v>
      </c>
      <c r="B153" s="15" t="s">
        <v>193</v>
      </c>
      <c r="C153" s="14">
        <f>_xlfn.XLOOKUP(B153,'Produtos &amp; Marcas'!B:B,'Produtos &amp; Marcas'!A:A)</f>
        <v>34</v>
      </c>
      <c r="D153" s="14">
        <v>0.4</v>
      </c>
      <c r="E153" s="16" t="s">
        <v>212</v>
      </c>
      <c r="F153" s="14">
        <f>_xlfn.XLOOKUP(E153,'Pontos de Partida'!B:B,'Pontos de Partida'!A:A)</f>
        <v>6</v>
      </c>
    </row>
    <row r="154" spans="1:6" x14ac:dyDescent="0.3">
      <c r="A154" s="14">
        <f t="shared" si="2"/>
        <v>102</v>
      </c>
      <c r="B154" s="15" t="s">
        <v>150</v>
      </c>
      <c r="C154" s="14">
        <f>_xlfn.XLOOKUP(B154,'Produtos &amp; Marcas'!B:B,'Produtos &amp; Marcas'!A:A)</f>
        <v>37</v>
      </c>
      <c r="D154" s="14">
        <v>0.7</v>
      </c>
      <c r="E154" s="16" t="s">
        <v>212</v>
      </c>
      <c r="F154" s="14">
        <f>_xlfn.XLOOKUP(E154,'Pontos de Partida'!B:B,'Pontos de Partida'!A:A)</f>
        <v>6</v>
      </c>
    </row>
    <row r="155" spans="1:6" x14ac:dyDescent="0.3">
      <c r="A155" s="14">
        <f t="shared" si="2"/>
        <v>102</v>
      </c>
      <c r="B155" s="15" t="s">
        <v>197</v>
      </c>
      <c r="C155" s="14">
        <f>_xlfn.XLOOKUP(B155,'Produtos &amp; Marcas'!B:B,'Produtos &amp; Marcas'!A:A)</f>
        <v>29</v>
      </c>
      <c r="D155" s="14">
        <v>1</v>
      </c>
      <c r="E155" s="16" t="s">
        <v>212</v>
      </c>
      <c r="F155" s="14">
        <f>_xlfn.XLOOKUP(E155,'Pontos de Partida'!B:B,'Pontos de Partida'!A:A)</f>
        <v>6</v>
      </c>
    </row>
    <row r="156" spans="1:6" x14ac:dyDescent="0.3">
      <c r="A156" s="14">
        <f t="shared" si="2"/>
        <v>103</v>
      </c>
      <c r="B156" s="15" t="s">
        <v>151</v>
      </c>
      <c r="C156" s="14">
        <f>_xlfn.XLOOKUP(B156,'Produtos &amp; Marcas'!B:B,'Produtos &amp; Marcas'!A:A)</f>
        <v>5</v>
      </c>
      <c r="D156" s="14">
        <v>3</v>
      </c>
      <c r="E156" s="16" t="s">
        <v>213</v>
      </c>
      <c r="F156" s="14">
        <f>_xlfn.XLOOKUP(E156,'Pontos de Partida'!B:B,'Pontos de Partida'!A:A)</f>
        <v>7</v>
      </c>
    </row>
    <row r="157" spans="1:6" x14ac:dyDescent="0.3">
      <c r="A157" s="14">
        <f t="shared" si="2"/>
        <v>103</v>
      </c>
      <c r="B157" s="15" t="s">
        <v>152</v>
      </c>
      <c r="C157" s="14">
        <f>_xlfn.XLOOKUP(B157,'Produtos &amp; Marcas'!B:B,'Produtos &amp; Marcas'!A:A)</f>
        <v>9</v>
      </c>
      <c r="D157" s="14">
        <v>0.2</v>
      </c>
      <c r="E157" s="16" t="s">
        <v>213</v>
      </c>
      <c r="F157" s="14">
        <f>_xlfn.XLOOKUP(E157,'Pontos de Partida'!B:B,'Pontos de Partida'!A:A)</f>
        <v>7</v>
      </c>
    </row>
    <row r="158" spans="1:6" x14ac:dyDescent="0.3">
      <c r="A158" s="14">
        <f t="shared" si="2"/>
        <v>103</v>
      </c>
      <c r="B158" s="15" t="s">
        <v>153</v>
      </c>
      <c r="C158" s="14">
        <f>_xlfn.XLOOKUP(B158,'Produtos &amp; Marcas'!B:B,'Produtos &amp; Marcas'!A:A)</f>
        <v>13</v>
      </c>
      <c r="D158" s="14">
        <v>1</v>
      </c>
      <c r="E158" s="16" t="s">
        <v>213</v>
      </c>
      <c r="F158" s="14">
        <f>_xlfn.XLOOKUP(E158,'Pontos de Partida'!B:B,'Pontos de Partida'!A:A)</f>
        <v>7</v>
      </c>
    </row>
    <row r="159" spans="1:6" x14ac:dyDescent="0.3">
      <c r="A159" s="14">
        <f t="shared" si="2"/>
        <v>103</v>
      </c>
      <c r="B159" s="15" t="s">
        <v>195</v>
      </c>
      <c r="C159" s="14">
        <f>_xlfn.XLOOKUP(B159,'Produtos &amp; Marcas'!B:B,'Produtos &amp; Marcas'!A:A)</f>
        <v>21</v>
      </c>
      <c r="D159" s="14">
        <v>2</v>
      </c>
      <c r="E159" s="16" t="s">
        <v>213</v>
      </c>
      <c r="F159" s="14">
        <f>_xlfn.XLOOKUP(E159,'Pontos de Partida'!B:B,'Pontos de Partida'!A:A)</f>
        <v>7</v>
      </c>
    </row>
    <row r="160" spans="1:6" x14ac:dyDescent="0.3">
      <c r="A160" s="14">
        <f t="shared" si="2"/>
        <v>103</v>
      </c>
      <c r="B160" s="15" t="s">
        <v>154</v>
      </c>
      <c r="C160" s="14">
        <f>_xlfn.XLOOKUP(B160,'Produtos &amp; Marcas'!B:B,'Produtos &amp; Marcas'!A:A)</f>
        <v>22</v>
      </c>
      <c r="D160" s="14">
        <v>2</v>
      </c>
      <c r="E160" s="16" t="s">
        <v>213</v>
      </c>
      <c r="F160" s="14">
        <f>_xlfn.XLOOKUP(E160,'Pontos de Partida'!B:B,'Pontos de Partida'!A:A)</f>
        <v>7</v>
      </c>
    </row>
    <row r="161" spans="1:6" x14ac:dyDescent="0.3">
      <c r="A161" s="14">
        <f t="shared" si="2"/>
        <v>103</v>
      </c>
      <c r="B161" s="15" t="s">
        <v>196</v>
      </c>
      <c r="C161" s="14">
        <f>_xlfn.XLOOKUP(B161,'Produtos &amp; Marcas'!B:B,'Produtos &amp; Marcas'!A:A)</f>
        <v>10</v>
      </c>
      <c r="D161" s="14">
        <v>2.5</v>
      </c>
      <c r="E161" s="16" t="s">
        <v>213</v>
      </c>
      <c r="F161" s="14">
        <f>_xlfn.XLOOKUP(E161,'Pontos de Partida'!B:B,'Pontos de Partida'!A:A)</f>
        <v>7</v>
      </c>
    </row>
    <row r="162" spans="1:6" x14ac:dyDescent="0.3">
      <c r="A162" s="14">
        <f t="shared" si="2"/>
        <v>103</v>
      </c>
      <c r="B162" s="15" t="s">
        <v>149</v>
      </c>
      <c r="C162" s="14">
        <f>_xlfn.XLOOKUP(B162,'Produtos &amp; Marcas'!B:B,'Produtos &amp; Marcas'!A:A)</f>
        <v>26</v>
      </c>
      <c r="D162" s="14">
        <v>3</v>
      </c>
      <c r="E162" s="16" t="s">
        <v>213</v>
      </c>
      <c r="F162" s="14">
        <f>_xlfn.XLOOKUP(E162,'Pontos de Partida'!B:B,'Pontos de Partida'!A:A)</f>
        <v>7</v>
      </c>
    </row>
    <row r="163" spans="1:6" x14ac:dyDescent="0.3">
      <c r="A163" s="14">
        <f t="shared" si="2"/>
        <v>103</v>
      </c>
      <c r="B163" s="15" t="s">
        <v>194</v>
      </c>
      <c r="C163" s="14">
        <f>_xlfn.XLOOKUP(B163,'Produtos &amp; Marcas'!B:B,'Produtos &amp; Marcas'!A:A)</f>
        <v>32</v>
      </c>
      <c r="D163" s="14">
        <v>1</v>
      </c>
      <c r="E163" s="16" t="s">
        <v>213</v>
      </c>
      <c r="F163" s="14">
        <f>_xlfn.XLOOKUP(E163,'Pontos de Partida'!B:B,'Pontos de Partida'!A:A)</f>
        <v>7</v>
      </c>
    </row>
    <row r="164" spans="1:6" x14ac:dyDescent="0.3">
      <c r="A164" s="14">
        <f t="shared" si="2"/>
        <v>103</v>
      </c>
      <c r="B164" s="15" t="s">
        <v>193</v>
      </c>
      <c r="C164" s="14">
        <f>_xlfn.XLOOKUP(B164,'Produtos &amp; Marcas'!B:B,'Produtos &amp; Marcas'!A:A)</f>
        <v>34</v>
      </c>
      <c r="D164" s="14">
        <v>0.4</v>
      </c>
      <c r="E164" s="16" t="s">
        <v>213</v>
      </c>
      <c r="F164" s="14">
        <f>_xlfn.XLOOKUP(E164,'Pontos de Partida'!B:B,'Pontos de Partida'!A:A)</f>
        <v>7</v>
      </c>
    </row>
    <row r="165" spans="1:6" x14ac:dyDescent="0.3">
      <c r="A165" s="14">
        <f t="shared" si="2"/>
        <v>103</v>
      </c>
      <c r="B165" s="15" t="s">
        <v>150</v>
      </c>
      <c r="C165" s="14">
        <f>_xlfn.XLOOKUP(B165,'Produtos &amp; Marcas'!B:B,'Produtos &amp; Marcas'!A:A)</f>
        <v>37</v>
      </c>
      <c r="D165" s="14">
        <v>0.7</v>
      </c>
      <c r="E165" s="16" t="s">
        <v>213</v>
      </c>
      <c r="F165" s="14">
        <f>_xlfn.XLOOKUP(E165,'Pontos de Partida'!B:B,'Pontos de Partida'!A:A)</f>
        <v>7</v>
      </c>
    </row>
    <row r="166" spans="1:6" x14ac:dyDescent="0.3">
      <c r="A166" s="14">
        <f t="shared" si="2"/>
        <v>103</v>
      </c>
      <c r="B166" s="15" t="s">
        <v>197</v>
      </c>
      <c r="C166" s="14">
        <f>_xlfn.XLOOKUP(B166,'Produtos &amp; Marcas'!B:B,'Produtos &amp; Marcas'!A:A)</f>
        <v>29</v>
      </c>
      <c r="D166" s="14">
        <v>1</v>
      </c>
      <c r="E166" s="16" t="s">
        <v>213</v>
      </c>
      <c r="F166" s="14">
        <f>_xlfn.XLOOKUP(E166,'Pontos de Partida'!B:B,'Pontos de Partida'!A:A)</f>
        <v>7</v>
      </c>
    </row>
    <row r="167" spans="1:6" x14ac:dyDescent="0.3">
      <c r="A167" s="14">
        <f t="shared" si="2"/>
        <v>104</v>
      </c>
      <c r="B167" s="15" t="s">
        <v>151</v>
      </c>
      <c r="C167" s="14">
        <f>_xlfn.XLOOKUP(B167,'Produtos &amp; Marcas'!B:B,'Produtos &amp; Marcas'!A:A)</f>
        <v>5</v>
      </c>
      <c r="D167" s="14">
        <v>3</v>
      </c>
      <c r="E167" s="16" t="s">
        <v>214</v>
      </c>
      <c r="F167" s="14">
        <f>_xlfn.XLOOKUP(E167,'Pontos de Partida'!B:B,'Pontos de Partida'!A:A)</f>
        <v>8</v>
      </c>
    </row>
    <row r="168" spans="1:6" x14ac:dyDescent="0.3">
      <c r="A168" s="14">
        <f t="shared" si="2"/>
        <v>104</v>
      </c>
      <c r="B168" s="15" t="s">
        <v>152</v>
      </c>
      <c r="C168" s="14">
        <f>_xlfn.XLOOKUP(B168,'Produtos &amp; Marcas'!B:B,'Produtos &amp; Marcas'!A:A)</f>
        <v>9</v>
      </c>
      <c r="D168" s="14">
        <v>0.2</v>
      </c>
      <c r="E168" s="16" t="s">
        <v>214</v>
      </c>
      <c r="F168" s="14">
        <f>_xlfn.XLOOKUP(E168,'Pontos de Partida'!B:B,'Pontos de Partida'!A:A)</f>
        <v>8</v>
      </c>
    </row>
    <row r="169" spans="1:6" x14ac:dyDescent="0.3">
      <c r="A169" s="14">
        <f t="shared" si="2"/>
        <v>104</v>
      </c>
      <c r="B169" s="15" t="s">
        <v>153</v>
      </c>
      <c r="C169" s="14">
        <f>_xlfn.XLOOKUP(B169,'Produtos &amp; Marcas'!B:B,'Produtos &amp; Marcas'!A:A)</f>
        <v>13</v>
      </c>
      <c r="D169" s="14">
        <v>1</v>
      </c>
      <c r="E169" s="16" t="s">
        <v>214</v>
      </c>
      <c r="F169" s="14">
        <f>_xlfn.XLOOKUP(E169,'Pontos de Partida'!B:B,'Pontos de Partida'!A:A)</f>
        <v>8</v>
      </c>
    </row>
    <row r="170" spans="1:6" x14ac:dyDescent="0.3">
      <c r="A170" s="14">
        <f t="shared" si="2"/>
        <v>104</v>
      </c>
      <c r="B170" s="15" t="s">
        <v>195</v>
      </c>
      <c r="C170" s="14">
        <f>_xlfn.XLOOKUP(B170,'Produtos &amp; Marcas'!B:B,'Produtos &amp; Marcas'!A:A)</f>
        <v>21</v>
      </c>
      <c r="D170" s="14">
        <v>2</v>
      </c>
      <c r="E170" s="16" t="s">
        <v>214</v>
      </c>
      <c r="F170" s="14">
        <f>_xlfn.XLOOKUP(E170,'Pontos de Partida'!B:B,'Pontos de Partida'!A:A)</f>
        <v>8</v>
      </c>
    </row>
    <row r="171" spans="1:6" x14ac:dyDescent="0.3">
      <c r="A171" s="14">
        <f t="shared" si="2"/>
        <v>104</v>
      </c>
      <c r="B171" s="15" t="s">
        <v>154</v>
      </c>
      <c r="C171" s="14">
        <f>_xlfn.XLOOKUP(B171,'Produtos &amp; Marcas'!B:B,'Produtos &amp; Marcas'!A:A)</f>
        <v>22</v>
      </c>
      <c r="D171" s="14">
        <v>2</v>
      </c>
      <c r="E171" s="16" t="s">
        <v>214</v>
      </c>
      <c r="F171" s="14">
        <f>_xlfn.XLOOKUP(E171,'Pontos de Partida'!B:B,'Pontos de Partida'!A:A)</f>
        <v>8</v>
      </c>
    </row>
    <row r="172" spans="1:6" x14ac:dyDescent="0.3">
      <c r="A172" s="14">
        <f t="shared" si="2"/>
        <v>104</v>
      </c>
      <c r="B172" s="15" t="s">
        <v>196</v>
      </c>
      <c r="C172" s="14">
        <f>_xlfn.XLOOKUP(B172,'Produtos &amp; Marcas'!B:B,'Produtos &amp; Marcas'!A:A)</f>
        <v>10</v>
      </c>
      <c r="D172" s="14">
        <v>2.5</v>
      </c>
      <c r="E172" s="16" t="s">
        <v>214</v>
      </c>
      <c r="F172" s="14">
        <f>_xlfn.XLOOKUP(E172,'Pontos de Partida'!B:B,'Pontos de Partida'!A:A)</f>
        <v>8</v>
      </c>
    </row>
    <row r="173" spans="1:6" x14ac:dyDescent="0.3">
      <c r="A173" s="14">
        <f t="shared" si="2"/>
        <v>104</v>
      </c>
      <c r="B173" s="15" t="s">
        <v>149</v>
      </c>
      <c r="C173" s="14">
        <f>_xlfn.XLOOKUP(B173,'Produtos &amp; Marcas'!B:B,'Produtos &amp; Marcas'!A:A)</f>
        <v>26</v>
      </c>
      <c r="D173" s="14">
        <v>3</v>
      </c>
      <c r="E173" s="16" t="s">
        <v>214</v>
      </c>
      <c r="F173" s="14">
        <f>_xlfn.XLOOKUP(E173,'Pontos de Partida'!B:B,'Pontos de Partida'!A:A)</f>
        <v>8</v>
      </c>
    </row>
    <row r="174" spans="1:6" x14ac:dyDescent="0.3">
      <c r="A174" s="14">
        <f t="shared" si="2"/>
        <v>104</v>
      </c>
      <c r="B174" s="15" t="s">
        <v>194</v>
      </c>
      <c r="C174" s="14">
        <f>_xlfn.XLOOKUP(B174,'Produtos &amp; Marcas'!B:B,'Produtos &amp; Marcas'!A:A)</f>
        <v>32</v>
      </c>
      <c r="D174" s="14">
        <v>1</v>
      </c>
      <c r="E174" s="16" t="s">
        <v>214</v>
      </c>
      <c r="F174" s="14">
        <f>_xlfn.XLOOKUP(E174,'Pontos de Partida'!B:B,'Pontos de Partida'!A:A)</f>
        <v>8</v>
      </c>
    </row>
    <row r="175" spans="1:6" x14ac:dyDescent="0.3">
      <c r="A175" s="14">
        <f t="shared" si="2"/>
        <v>104</v>
      </c>
      <c r="B175" s="15" t="s">
        <v>193</v>
      </c>
      <c r="C175" s="14">
        <f>_xlfn.XLOOKUP(B175,'Produtos &amp; Marcas'!B:B,'Produtos &amp; Marcas'!A:A)</f>
        <v>34</v>
      </c>
      <c r="D175" s="14">
        <v>0.4</v>
      </c>
      <c r="E175" s="16" t="s">
        <v>214</v>
      </c>
      <c r="F175" s="14">
        <f>_xlfn.XLOOKUP(E175,'Pontos de Partida'!B:B,'Pontos de Partida'!A:A)</f>
        <v>8</v>
      </c>
    </row>
    <row r="176" spans="1:6" x14ac:dyDescent="0.3">
      <c r="A176" s="14">
        <f t="shared" si="2"/>
        <v>104</v>
      </c>
      <c r="B176" s="15" t="s">
        <v>150</v>
      </c>
      <c r="C176" s="14">
        <f>_xlfn.XLOOKUP(B176,'Produtos &amp; Marcas'!B:B,'Produtos &amp; Marcas'!A:A)</f>
        <v>37</v>
      </c>
      <c r="D176" s="14">
        <v>0.7</v>
      </c>
      <c r="E176" s="16" t="s">
        <v>214</v>
      </c>
      <c r="F176" s="14">
        <f>_xlfn.XLOOKUP(E176,'Pontos de Partida'!B:B,'Pontos de Partida'!A:A)</f>
        <v>8</v>
      </c>
    </row>
    <row r="177" spans="1:6" x14ac:dyDescent="0.3">
      <c r="A177" s="17">
        <f t="shared" si="2"/>
        <v>104</v>
      </c>
      <c r="B177" s="18" t="s">
        <v>197</v>
      </c>
      <c r="C177" s="17">
        <f>_xlfn.XLOOKUP(B177,'Produtos &amp; Marcas'!B:B,'Produtos &amp; Marcas'!A:A)</f>
        <v>29</v>
      </c>
      <c r="D177" s="17">
        <v>1</v>
      </c>
      <c r="E177" s="16" t="s">
        <v>214</v>
      </c>
      <c r="F177" s="17">
        <f>_xlfn.XLOOKUP(E177,'Pontos de Partida'!B:B,'Pontos de Partida'!A:A)</f>
        <v>8</v>
      </c>
    </row>
    <row r="178" spans="1:6" x14ac:dyDescent="0.3">
      <c r="A178" s="14">
        <v>1</v>
      </c>
      <c r="B178" s="15" t="s">
        <v>198</v>
      </c>
      <c r="C178" s="14">
        <f>_xlfn.XLOOKUP(B178,'Produtos &amp; Marcas'!B:B,'Produtos &amp; Marcas'!A:A)</f>
        <v>6</v>
      </c>
      <c r="D178" s="14">
        <v>3</v>
      </c>
      <c r="E178" s="15" t="s">
        <v>99</v>
      </c>
      <c r="F178" s="14">
        <f>_xlfn.XLOOKUP(E178,'Pontos de Partida'!B:B,'Pontos de Partida'!A:A)</f>
        <v>1</v>
      </c>
    </row>
    <row r="179" spans="1:6" x14ac:dyDescent="0.3">
      <c r="A179" s="14">
        <v>1</v>
      </c>
      <c r="B179" s="15" t="s">
        <v>155</v>
      </c>
      <c r="C179" s="14">
        <f>_xlfn.XLOOKUP(B179,'Produtos &amp; Marcas'!B:B,'Produtos &amp; Marcas'!A:A)</f>
        <v>3</v>
      </c>
      <c r="D179" s="14">
        <v>2</v>
      </c>
      <c r="E179" s="15" t="s">
        <v>99</v>
      </c>
      <c r="F179" s="14">
        <f>_xlfn.XLOOKUP(E179,'Pontos de Partida'!B:B,'Pontos de Partida'!A:A)</f>
        <v>1</v>
      </c>
    </row>
    <row r="180" spans="1:6" x14ac:dyDescent="0.3">
      <c r="A180" s="14">
        <v>1</v>
      </c>
      <c r="B180" s="15" t="s">
        <v>152</v>
      </c>
      <c r="C180" s="14">
        <f>_xlfn.XLOOKUP(B180,'Produtos &amp; Marcas'!B:B,'Produtos &amp; Marcas'!A:A)</f>
        <v>9</v>
      </c>
      <c r="D180" s="14">
        <v>0.4</v>
      </c>
      <c r="E180" s="15" t="s">
        <v>99</v>
      </c>
      <c r="F180" s="14">
        <f>_xlfn.XLOOKUP(E180,'Pontos de Partida'!B:B,'Pontos de Partida'!A:A)</f>
        <v>1</v>
      </c>
    </row>
    <row r="181" spans="1:6" x14ac:dyDescent="0.3">
      <c r="A181" s="14">
        <v>1</v>
      </c>
      <c r="B181" s="15" t="s">
        <v>156</v>
      </c>
      <c r="C181" s="14">
        <f>_xlfn.XLOOKUP(B181,'Produtos &amp; Marcas'!B:B,'Produtos &amp; Marcas'!A:A)</f>
        <v>12</v>
      </c>
      <c r="D181" s="14">
        <v>0.8</v>
      </c>
      <c r="E181" s="15" t="s">
        <v>99</v>
      </c>
      <c r="F181" s="14">
        <f>_xlfn.XLOOKUP(E181,'Pontos de Partida'!B:B,'Pontos de Partida'!A:A)</f>
        <v>1</v>
      </c>
    </row>
    <row r="182" spans="1:6" x14ac:dyDescent="0.3">
      <c r="A182" s="14">
        <v>1</v>
      </c>
      <c r="B182" s="15" t="s">
        <v>153</v>
      </c>
      <c r="C182" s="14">
        <f>_xlfn.XLOOKUP(B182,'Produtos &amp; Marcas'!B:B,'Produtos &amp; Marcas'!A:A)</f>
        <v>13</v>
      </c>
      <c r="D182" s="14">
        <v>1</v>
      </c>
      <c r="E182" s="15" t="s">
        <v>99</v>
      </c>
      <c r="F182" s="14">
        <f>_xlfn.XLOOKUP(E182,'Pontos de Partida'!B:B,'Pontos de Partida'!A:A)</f>
        <v>1</v>
      </c>
    </row>
    <row r="183" spans="1:6" x14ac:dyDescent="0.3">
      <c r="A183" s="14">
        <v>1</v>
      </c>
      <c r="B183" s="15" t="s">
        <v>157</v>
      </c>
      <c r="C183" s="14">
        <f>_xlfn.XLOOKUP(B183,'Produtos &amp; Marcas'!B:B,'Produtos &amp; Marcas'!A:A)</f>
        <v>16</v>
      </c>
      <c r="D183" s="14">
        <v>1.5</v>
      </c>
      <c r="E183" s="15" t="s">
        <v>99</v>
      </c>
      <c r="F183" s="14">
        <f>_xlfn.XLOOKUP(E183,'Pontos de Partida'!B:B,'Pontos de Partida'!A:A)</f>
        <v>1</v>
      </c>
    </row>
    <row r="184" spans="1:6" x14ac:dyDescent="0.3">
      <c r="A184" s="14">
        <v>1</v>
      </c>
      <c r="B184" s="15" t="s">
        <v>190</v>
      </c>
      <c r="C184" s="14">
        <f>_xlfn.XLOOKUP(B184,'Produtos &amp; Marcas'!B:B,'Produtos &amp; Marcas'!A:A)</f>
        <v>19</v>
      </c>
      <c r="D184" s="14">
        <v>1</v>
      </c>
      <c r="E184" s="15" t="s">
        <v>99</v>
      </c>
      <c r="F184" s="14">
        <f>_xlfn.XLOOKUP(E184,'Pontos de Partida'!B:B,'Pontos de Partida'!A:A)</f>
        <v>1</v>
      </c>
    </row>
    <row r="185" spans="1:6" x14ac:dyDescent="0.3">
      <c r="A185" s="14">
        <v>1</v>
      </c>
      <c r="B185" s="15" t="s">
        <v>199</v>
      </c>
      <c r="C185" s="14">
        <f>_xlfn.XLOOKUP(B185,'Produtos &amp; Marcas'!B:B,'Produtos &amp; Marcas'!A:A)</f>
        <v>23</v>
      </c>
      <c r="D185" s="14">
        <v>3</v>
      </c>
      <c r="E185" s="15" t="s">
        <v>99</v>
      </c>
      <c r="F185" s="14">
        <f>_xlfn.XLOOKUP(E185,'Pontos de Partida'!B:B,'Pontos de Partida'!A:A)</f>
        <v>1</v>
      </c>
    </row>
    <row r="186" spans="1:6" x14ac:dyDescent="0.3">
      <c r="A186" s="14">
        <v>1</v>
      </c>
      <c r="B186" s="15" t="s">
        <v>200</v>
      </c>
      <c r="C186" s="14">
        <f>_xlfn.XLOOKUP(B186,'Produtos &amp; Marcas'!B:B,'Produtos &amp; Marcas'!A:A)</f>
        <v>27</v>
      </c>
      <c r="D186" s="14">
        <v>2</v>
      </c>
      <c r="E186" s="15" t="s">
        <v>99</v>
      </c>
      <c r="F186" s="14">
        <f>_xlfn.XLOOKUP(E186,'Pontos de Partida'!B:B,'Pontos de Partida'!A:A)</f>
        <v>1</v>
      </c>
    </row>
    <row r="187" spans="1:6" x14ac:dyDescent="0.3">
      <c r="A187" s="14">
        <v>1</v>
      </c>
      <c r="B187" s="15" t="s">
        <v>192</v>
      </c>
      <c r="C187" s="14">
        <f>_xlfn.XLOOKUP(B187,'Produtos &amp; Marcas'!B:B,'Produtos &amp; Marcas'!A:A)</f>
        <v>28</v>
      </c>
      <c r="D187" s="14">
        <v>1</v>
      </c>
      <c r="E187" s="15" t="s">
        <v>99</v>
      </c>
      <c r="F187" s="14">
        <f>_xlfn.XLOOKUP(E187,'Pontos de Partida'!B:B,'Pontos de Partida'!A:A)</f>
        <v>1</v>
      </c>
    </row>
    <row r="188" spans="1:6" x14ac:dyDescent="0.3">
      <c r="A188" s="14">
        <v>1</v>
      </c>
      <c r="B188" s="15" t="s">
        <v>193</v>
      </c>
      <c r="C188" s="14">
        <f>_xlfn.XLOOKUP(B188,'Produtos &amp; Marcas'!B:B,'Produtos &amp; Marcas'!A:A)</f>
        <v>34</v>
      </c>
      <c r="D188" s="14">
        <v>0.2</v>
      </c>
      <c r="E188" s="15" t="s">
        <v>99</v>
      </c>
      <c r="F188" s="14">
        <f>_xlfn.XLOOKUP(E188,'Pontos de Partida'!B:B,'Pontos de Partida'!A:A)</f>
        <v>1</v>
      </c>
    </row>
    <row r="189" spans="1:6" x14ac:dyDescent="0.3">
      <c r="A189" s="14">
        <v>1</v>
      </c>
      <c r="B189" s="15" t="s">
        <v>150</v>
      </c>
      <c r="C189" s="14">
        <f>_xlfn.XLOOKUP(B189,'Produtos &amp; Marcas'!B:B,'Produtos &amp; Marcas'!A:A)</f>
        <v>37</v>
      </c>
      <c r="D189" s="14">
        <v>0.5</v>
      </c>
      <c r="E189" s="15" t="s">
        <v>99</v>
      </c>
      <c r="F189" s="14">
        <f>_xlfn.XLOOKUP(E189,'Pontos de Partida'!B:B,'Pontos de Partida'!A:A)</f>
        <v>1</v>
      </c>
    </row>
    <row r="190" spans="1:6" x14ac:dyDescent="0.3">
      <c r="A190" s="14">
        <v>1</v>
      </c>
      <c r="B190" s="15" t="s">
        <v>194</v>
      </c>
      <c r="C190" s="14">
        <f>_xlfn.XLOOKUP(B190,'Produtos &amp; Marcas'!B:B,'Produtos &amp; Marcas'!A:A)</f>
        <v>32</v>
      </c>
      <c r="D190" s="14">
        <v>1</v>
      </c>
      <c r="E190" s="15" t="s">
        <v>99</v>
      </c>
      <c r="F190" s="14">
        <f>_xlfn.XLOOKUP(E190,'Pontos de Partida'!B:B,'Pontos de Partida'!A:A)</f>
        <v>1</v>
      </c>
    </row>
    <row r="191" spans="1:6" x14ac:dyDescent="0.3">
      <c r="A191" s="14">
        <v>2</v>
      </c>
      <c r="B191" s="15" t="s">
        <v>146</v>
      </c>
      <c r="C191" s="14">
        <f>_xlfn.XLOOKUP(B191,'Produtos &amp; Marcas'!B:B,'Produtos &amp; Marcas'!A:A)</f>
        <v>4</v>
      </c>
      <c r="D191" s="14">
        <v>3</v>
      </c>
      <c r="E191" s="15" t="s">
        <v>99</v>
      </c>
      <c r="F191" s="14">
        <f>_xlfn.XLOOKUP(E191,'Pontos de Partida'!B:B,'Pontos de Partida'!A:A)</f>
        <v>1</v>
      </c>
    </row>
    <row r="192" spans="1:6" x14ac:dyDescent="0.3">
      <c r="A192" s="14">
        <v>2</v>
      </c>
      <c r="B192" s="15" t="s">
        <v>158</v>
      </c>
      <c r="C192" s="14">
        <f>_xlfn.XLOOKUP(B192,'Produtos &amp; Marcas'!B:B,'Produtos &amp; Marcas'!A:A)</f>
        <v>2</v>
      </c>
      <c r="D192" s="14">
        <v>2</v>
      </c>
      <c r="E192" s="15" t="s">
        <v>99</v>
      </c>
      <c r="F192" s="14">
        <f>_xlfn.XLOOKUP(E192,'Pontos de Partida'!B:B,'Pontos de Partida'!A:A)</f>
        <v>1</v>
      </c>
    </row>
    <row r="193" spans="1:6" x14ac:dyDescent="0.3">
      <c r="A193" s="14">
        <v>2</v>
      </c>
      <c r="B193" s="15" t="s">
        <v>189</v>
      </c>
      <c r="C193" s="14">
        <f>_xlfn.XLOOKUP(B193,'Produtos &amp; Marcas'!B:B,'Produtos &amp; Marcas'!A:A)</f>
        <v>8</v>
      </c>
      <c r="D193" s="14">
        <v>0.4</v>
      </c>
      <c r="E193" s="15" t="s">
        <v>99</v>
      </c>
      <c r="F193" s="14">
        <f>_xlfn.XLOOKUP(E193,'Pontos de Partida'!B:B,'Pontos de Partida'!A:A)</f>
        <v>1</v>
      </c>
    </row>
    <row r="194" spans="1:6" x14ac:dyDescent="0.3">
      <c r="A194" s="14">
        <v>2</v>
      </c>
      <c r="B194" s="15" t="s">
        <v>147</v>
      </c>
      <c r="C194" s="14">
        <f>_xlfn.XLOOKUP(B194,'Produtos &amp; Marcas'!B:B,'Produtos &amp; Marcas'!A:A)</f>
        <v>11</v>
      </c>
      <c r="D194" s="14">
        <v>0.8</v>
      </c>
      <c r="E194" s="15" t="s">
        <v>99</v>
      </c>
      <c r="F194" s="14">
        <f>_xlfn.XLOOKUP(E194,'Pontos de Partida'!B:B,'Pontos de Partida'!A:A)</f>
        <v>1</v>
      </c>
    </row>
    <row r="195" spans="1:6" x14ac:dyDescent="0.3">
      <c r="A195" s="14">
        <v>2</v>
      </c>
      <c r="B195" s="15" t="s">
        <v>201</v>
      </c>
      <c r="C195" s="14">
        <f>_xlfn.XLOOKUP(B195,'Produtos &amp; Marcas'!B:B,'Produtos &amp; Marcas'!A:A)</f>
        <v>15</v>
      </c>
      <c r="D195" s="14">
        <v>1</v>
      </c>
      <c r="E195" s="15" t="s">
        <v>99</v>
      </c>
      <c r="F195" s="14">
        <f>_xlfn.XLOOKUP(E195,'Pontos de Partida'!B:B,'Pontos de Partida'!A:A)</f>
        <v>1</v>
      </c>
    </row>
    <row r="196" spans="1:6" x14ac:dyDescent="0.3">
      <c r="A196" s="14">
        <v>2</v>
      </c>
      <c r="B196" s="15" t="s">
        <v>159</v>
      </c>
      <c r="C196" s="14">
        <f>_xlfn.XLOOKUP(B196,'Produtos &amp; Marcas'!B:B,'Produtos &amp; Marcas'!A:A)</f>
        <v>17</v>
      </c>
      <c r="D196" s="14">
        <v>1.5</v>
      </c>
      <c r="E196" s="15" t="s">
        <v>99</v>
      </c>
      <c r="F196" s="14">
        <f>_xlfn.XLOOKUP(E196,'Pontos de Partida'!B:B,'Pontos de Partida'!A:A)</f>
        <v>1</v>
      </c>
    </row>
    <row r="197" spans="1:6" x14ac:dyDescent="0.3">
      <c r="A197" s="14">
        <v>2</v>
      </c>
      <c r="B197" s="15" t="s">
        <v>202</v>
      </c>
      <c r="C197" s="14">
        <f>_xlfn.XLOOKUP(B197,'Produtos &amp; Marcas'!B:B,'Produtos &amp; Marcas'!A:A)</f>
        <v>20</v>
      </c>
      <c r="D197" s="14">
        <v>1</v>
      </c>
      <c r="E197" s="15" t="s">
        <v>99</v>
      </c>
      <c r="F197" s="14">
        <f>_xlfn.XLOOKUP(E197,'Pontos de Partida'!B:B,'Pontos de Partida'!A:A)</f>
        <v>1</v>
      </c>
    </row>
    <row r="198" spans="1:6" x14ac:dyDescent="0.3">
      <c r="A198" s="14">
        <v>2</v>
      </c>
      <c r="B198" s="15" t="s">
        <v>154</v>
      </c>
      <c r="C198" s="14">
        <f>_xlfn.XLOOKUP(B198,'Produtos &amp; Marcas'!B:B,'Produtos &amp; Marcas'!A:A)</f>
        <v>22</v>
      </c>
      <c r="D198" s="14">
        <v>3</v>
      </c>
      <c r="E198" s="15" t="s">
        <v>99</v>
      </c>
      <c r="F198" s="14">
        <f>_xlfn.XLOOKUP(E198,'Pontos de Partida'!B:B,'Pontos de Partida'!A:A)</f>
        <v>1</v>
      </c>
    </row>
    <row r="199" spans="1:6" x14ac:dyDescent="0.3">
      <c r="A199" s="14">
        <v>2</v>
      </c>
      <c r="B199" s="15" t="s">
        <v>160</v>
      </c>
      <c r="C199" s="14">
        <f>_xlfn.XLOOKUP(B199,'Produtos &amp; Marcas'!B:B,'Produtos &amp; Marcas'!A:A)</f>
        <v>25</v>
      </c>
      <c r="D199" s="14">
        <v>2</v>
      </c>
      <c r="E199" s="15" t="s">
        <v>99</v>
      </c>
      <c r="F199" s="14">
        <f>_xlfn.XLOOKUP(E199,'Pontos de Partida'!B:B,'Pontos de Partida'!A:A)</f>
        <v>1</v>
      </c>
    </row>
    <row r="200" spans="1:6" x14ac:dyDescent="0.3">
      <c r="A200" s="14">
        <v>2</v>
      </c>
      <c r="B200" s="15" t="s">
        <v>203</v>
      </c>
      <c r="C200" s="14">
        <f>_xlfn.XLOOKUP(B200,'Produtos &amp; Marcas'!B:B,'Produtos &amp; Marcas'!A:A)</f>
        <v>30</v>
      </c>
      <c r="D200" s="14">
        <v>1</v>
      </c>
      <c r="E200" s="15" t="s">
        <v>99</v>
      </c>
      <c r="F200" s="14">
        <f>_xlfn.XLOOKUP(E200,'Pontos de Partida'!B:B,'Pontos de Partida'!A:A)</f>
        <v>1</v>
      </c>
    </row>
    <row r="201" spans="1:6" x14ac:dyDescent="0.3">
      <c r="A201" s="14">
        <v>2</v>
      </c>
      <c r="B201" s="15" t="s">
        <v>204</v>
      </c>
      <c r="C201" s="14">
        <f>_xlfn.XLOOKUP(B201,'Produtos &amp; Marcas'!B:B,'Produtos &amp; Marcas'!A:A)</f>
        <v>35</v>
      </c>
      <c r="D201" s="14">
        <v>0.2</v>
      </c>
      <c r="E201" s="15" t="s">
        <v>99</v>
      </c>
      <c r="F201" s="14">
        <f>_xlfn.XLOOKUP(E201,'Pontos de Partida'!B:B,'Pontos de Partida'!A:A)</f>
        <v>1</v>
      </c>
    </row>
    <row r="202" spans="1:6" x14ac:dyDescent="0.3">
      <c r="A202" s="14">
        <v>2</v>
      </c>
      <c r="B202" s="15" t="s">
        <v>161</v>
      </c>
      <c r="C202" s="14">
        <f>_xlfn.XLOOKUP(B202,'Produtos &amp; Marcas'!B:B,'Produtos &amp; Marcas'!A:A)</f>
        <v>38</v>
      </c>
      <c r="D202" s="14">
        <v>0.5</v>
      </c>
      <c r="E202" s="15" t="s">
        <v>99</v>
      </c>
      <c r="F202" s="14">
        <f>_xlfn.XLOOKUP(E202,'Pontos de Partida'!B:B,'Pontos de Partida'!A:A)</f>
        <v>1</v>
      </c>
    </row>
    <row r="203" spans="1:6" x14ac:dyDescent="0.3">
      <c r="A203" s="14">
        <v>2</v>
      </c>
      <c r="B203" s="15" t="s">
        <v>205</v>
      </c>
      <c r="C203" s="14">
        <f>_xlfn.XLOOKUP(B203,'Produtos &amp; Marcas'!B:B,'Produtos &amp; Marcas'!A:A)</f>
        <v>31</v>
      </c>
      <c r="D203" s="14">
        <v>1</v>
      </c>
      <c r="E203" s="15" t="s">
        <v>99</v>
      </c>
      <c r="F203" s="14">
        <f>_xlfn.XLOOKUP(E203,'Pontos de Partida'!B:B,'Pontos de Partida'!A:A)</f>
        <v>1</v>
      </c>
    </row>
    <row r="204" spans="1:6" x14ac:dyDescent="0.3">
      <c r="A204" s="14">
        <v>3</v>
      </c>
      <c r="B204" s="15" t="s">
        <v>151</v>
      </c>
      <c r="C204" s="14">
        <f>_xlfn.XLOOKUP(B204,'Produtos &amp; Marcas'!B:B,'Produtos &amp; Marcas'!A:A)</f>
        <v>5</v>
      </c>
      <c r="D204" s="14">
        <v>3</v>
      </c>
      <c r="E204" s="15" t="s">
        <v>99</v>
      </c>
      <c r="F204" s="14">
        <f>_xlfn.XLOOKUP(E204,'Pontos de Partida'!B:B,'Pontos de Partida'!A:A)</f>
        <v>1</v>
      </c>
    </row>
    <row r="205" spans="1:6" x14ac:dyDescent="0.3">
      <c r="A205" s="14">
        <v>3</v>
      </c>
      <c r="B205" s="15" t="s">
        <v>162</v>
      </c>
      <c r="C205" s="14">
        <f>_xlfn.XLOOKUP(B205,'Produtos &amp; Marcas'!B:B,'Produtos &amp; Marcas'!A:A)</f>
        <v>1</v>
      </c>
      <c r="D205" s="14">
        <v>2</v>
      </c>
      <c r="E205" s="15" t="s">
        <v>99</v>
      </c>
      <c r="F205" s="14">
        <f>_xlfn.XLOOKUP(E205,'Pontos de Partida'!B:B,'Pontos de Partida'!A:A)</f>
        <v>1</v>
      </c>
    </row>
    <row r="206" spans="1:6" x14ac:dyDescent="0.3">
      <c r="A206" s="14">
        <v>3</v>
      </c>
      <c r="B206" s="15" t="s">
        <v>152</v>
      </c>
      <c r="C206" s="14">
        <f>_xlfn.XLOOKUP(B206,'Produtos &amp; Marcas'!B:B,'Produtos &amp; Marcas'!A:A)</f>
        <v>9</v>
      </c>
      <c r="D206" s="14">
        <v>0.4</v>
      </c>
      <c r="E206" s="15" t="s">
        <v>99</v>
      </c>
      <c r="F206" s="14">
        <f>_xlfn.XLOOKUP(E206,'Pontos de Partida'!B:B,'Pontos de Partida'!A:A)</f>
        <v>1</v>
      </c>
    </row>
    <row r="207" spans="1:6" x14ac:dyDescent="0.3">
      <c r="A207" s="14">
        <v>3</v>
      </c>
      <c r="B207" s="15" t="s">
        <v>147</v>
      </c>
      <c r="C207" s="14">
        <f>_xlfn.XLOOKUP(B207,'Produtos &amp; Marcas'!B:B,'Produtos &amp; Marcas'!A:A)</f>
        <v>11</v>
      </c>
      <c r="D207" s="14">
        <v>0.8</v>
      </c>
      <c r="E207" s="15" t="s">
        <v>99</v>
      </c>
      <c r="F207" s="14">
        <f>_xlfn.XLOOKUP(E207,'Pontos de Partida'!B:B,'Pontos de Partida'!A:A)</f>
        <v>1</v>
      </c>
    </row>
    <row r="208" spans="1:6" x14ac:dyDescent="0.3">
      <c r="A208" s="14">
        <v>3</v>
      </c>
      <c r="B208" s="15" t="s">
        <v>148</v>
      </c>
      <c r="C208" s="14">
        <f>_xlfn.XLOOKUP(B208,'Produtos &amp; Marcas'!B:B,'Produtos &amp; Marcas'!A:A)</f>
        <v>14</v>
      </c>
      <c r="D208" s="14">
        <v>1</v>
      </c>
      <c r="E208" s="15" t="s">
        <v>99</v>
      </c>
      <c r="F208" s="14">
        <f>_xlfn.XLOOKUP(E208,'Pontos de Partida'!B:B,'Pontos de Partida'!A:A)</f>
        <v>1</v>
      </c>
    </row>
    <row r="209" spans="1:6" x14ac:dyDescent="0.3">
      <c r="A209" s="14">
        <v>3</v>
      </c>
      <c r="B209" s="15" t="s">
        <v>206</v>
      </c>
      <c r="C209" s="14">
        <f>_xlfn.XLOOKUP(B209,'Produtos &amp; Marcas'!B:B,'Produtos &amp; Marcas'!A:A)</f>
        <v>18</v>
      </c>
      <c r="D209" s="14">
        <v>1.5</v>
      </c>
      <c r="E209" s="15" t="s">
        <v>99</v>
      </c>
      <c r="F209" s="14">
        <f>_xlfn.XLOOKUP(E209,'Pontos de Partida'!B:B,'Pontos de Partida'!A:A)</f>
        <v>1</v>
      </c>
    </row>
    <row r="210" spans="1:6" x14ac:dyDescent="0.3">
      <c r="A210" s="14">
        <v>3</v>
      </c>
      <c r="B210" s="15" t="s">
        <v>195</v>
      </c>
      <c r="C210" s="14">
        <f>_xlfn.XLOOKUP(B210,'Produtos &amp; Marcas'!B:B,'Produtos &amp; Marcas'!A:A)</f>
        <v>21</v>
      </c>
      <c r="D210" s="14">
        <v>1</v>
      </c>
      <c r="E210" s="15" t="s">
        <v>99</v>
      </c>
      <c r="F210" s="14">
        <f>_xlfn.XLOOKUP(E210,'Pontos de Partida'!B:B,'Pontos de Partida'!A:A)</f>
        <v>1</v>
      </c>
    </row>
    <row r="211" spans="1:6" x14ac:dyDescent="0.3">
      <c r="A211" s="14">
        <v>3</v>
      </c>
      <c r="B211" s="15" t="s">
        <v>199</v>
      </c>
      <c r="C211" s="14">
        <f>_xlfn.XLOOKUP(B211,'Produtos &amp; Marcas'!B:B,'Produtos &amp; Marcas'!A:A)</f>
        <v>23</v>
      </c>
      <c r="D211" s="14">
        <v>3</v>
      </c>
      <c r="E211" s="15" t="s">
        <v>99</v>
      </c>
      <c r="F211" s="14">
        <f>_xlfn.XLOOKUP(E211,'Pontos de Partida'!B:B,'Pontos de Partida'!A:A)</f>
        <v>1</v>
      </c>
    </row>
    <row r="212" spans="1:6" x14ac:dyDescent="0.3">
      <c r="A212" s="14">
        <v>3</v>
      </c>
      <c r="B212" s="15" t="s">
        <v>200</v>
      </c>
      <c r="C212" s="14">
        <f>_xlfn.XLOOKUP(B212,'Produtos &amp; Marcas'!B:B,'Produtos &amp; Marcas'!A:A)</f>
        <v>27</v>
      </c>
      <c r="D212" s="14">
        <v>2</v>
      </c>
      <c r="E212" s="15" t="s">
        <v>99</v>
      </c>
      <c r="F212" s="14">
        <f>_xlfn.XLOOKUP(E212,'Pontos de Partida'!B:B,'Pontos de Partida'!A:A)</f>
        <v>1</v>
      </c>
    </row>
    <row r="213" spans="1:6" x14ac:dyDescent="0.3">
      <c r="A213" s="14">
        <v>3</v>
      </c>
      <c r="B213" s="15" t="s">
        <v>197</v>
      </c>
      <c r="C213" s="14">
        <f>_xlfn.XLOOKUP(B213,'Produtos &amp; Marcas'!B:B,'Produtos &amp; Marcas'!A:A)</f>
        <v>29</v>
      </c>
      <c r="D213" s="14">
        <v>1</v>
      </c>
      <c r="E213" s="15" t="s">
        <v>99</v>
      </c>
      <c r="F213" s="14">
        <f>_xlfn.XLOOKUP(E213,'Pontos de Partida'!B:B,'Pontos de Partida'!A:A)</f>
        <v>1</v>
      </c>
    </row>
    <row r="214" spans="1:6" x14ac:dyDescent="0.3">
      <c r="A214" s="14">
        <v>3</v>
      </c>
      <c r="B214" s="15" t="s">
        <v>207</v>
      </c>
      <c r="C214" s="14">
        <f>_xlfn.XLOOKUP(B214,'Produtos &amp; Marcas'!B:B,'Produtos &amp; Marcas'!A:A)</f>
        <v>36</v>
      </c>
      <c r="D214" s="14">
        <v>0.2</v>
      </c>
      <c r="E214" s="15" t="s">
        <v>99</v>
      </c>
      <c r="F214" s="14">
        <f>_xlfn.XLOOKUP(E214,'Pontos de Partida'!B:B,'Pontos de Partida'!A:A)</f>
        <v>1</v>
      </c>
    </row>
    <row r="215" spans="1:6" x14ac:dyDescent="0.3">
      <c r="A215" s="14">
        <v>3</v>
      </c>
      <c r="B215" s="15" t="s">
        <v>208</v>
      </c>
      <c r="C215" s="14">
        <f>_xlfn.XLOOKUP(B215,'Produtos &amp; Marcas'!B:B,'Produtos &amp; Marcas'!A:A)</f>
        <v>39</v>
      </c>
      <c r="D215" s="14">
        <v>0.5</v>
      </c>
      <c r="E215" s="15" t="s">
        <v>99</v>
      </c>
      <c r="F215" s="14">
        <f>_xlfn.XLOOKUP(E215,'Pontos de Partida'!B:B,'Pontos de Partida'!A:A)</f>
        <v>1</v>
      </c>
    </row>
    <row r="216" spans="1:6" x14ac:dyDescent="0.3">
      <c r="A216" s="14">
        <v>3</v>
      </c>
      <c r="B216" s="15" t="s">
        <v>194</v>
      </c>
      <c r="C216" s="14">
        <f>_xlfn.XLOOKUP(B216,'Produtos &amp; Marcas'!B:B,'Produtos &amp; Marcas'!A:A)</f>
        <v>32</v>
      </c>
      <c r="D216" s="14">
        <v>1</v>
      </c>
      <c r="E216" s="15" t="s">
        <v>99</v>
      </c>
      <c r="F216" s="14">
        <f>_xlfn.XLOOKUP(E216,'Pontos de Partida'!B:B,'Pontos de Partida'!A:A)</f>
        <v>1</v>
      </c>
    </row>
    <row r="217" spans="1:6" x14ac:dyDescent="0.3">
      <c r="A217" s="14">
        <v>4</v>
      </c>
      <c r="B217" s="15" t="s">
        <v>193</v>
      </c>
      <c r="C217" s="14">
        <f>_xlfn.XLOOKUP(B217,'Produtos &amp; Marcas'!B:B,'Produtos &amp; Marcas'!A:A)</f>
        <v>34</v>
      </c>
      <c r="D217" s="14">
        <v>0.2</v>
      </c>
      <c r="E217" s="15" t="s">
        <v>99</v>
      </c>
      <c r="F217" s="14">
        <f>_xlfn.XLOOKUP(E217,'Pontos de Partida'!B:B,'Pontos de Partida'!A:A)</f>
        <v>1</v>
      </c>
    </row>
    <row r="218" spans="1:6" x14ac:dyDescent="0.3">
      <c r="A218" s="14">
        <v>4</v>
      </c>
      <c r="B218" s="15" t="s">
        <v>158</v>
      </c>
      <c r="C218" s="14">
        <f>_xlfn.XLOOKUP(B218,'Produtos &amp; Marcas'!B:B,'Produtos &amp; Marcas'!A:A)</f>
        <v>2</v>
      </c>
      <c r="D218" s="14">
        <v>2</v>
      </c>
      <c r="E218" s="15" t="s">
        <v>99</v>
      </c>
      <c r="F218" s="14">
        <f>_xlfn.XLOOKUP(E218,'Pontos de Partida'!B:B,'Pontos de Partida'!A:A)</f>
        <v>1</v>
      </c>
    </row>
    <row r="219" spans="1:6" x14ac:dyDescent="0.3">
      <c r="A219" s="14">
        <v>4</v>
      </c>
      <c r="B219" s="15" t="s">
        <v>146</v>
      </c>
      <c r="C219" s="14">
        <f>_xlfn.XLOOKUP(B219,'Produtos &amp; Marcas'!B:B,'Produtos &amp; Marcas'!A:A)</f>
        <v>4</v>
      </c>
      <c r="D219" s="14">
        <v>3</v>
      </c>
      <c r="E219" s="15" t="s">
        <v>99</v>
      </c>
      <c r="F219" s="14">
        <f>_xlfn.XLOOKUP(E219,'Pontos de Partida'!B:B,'Pontos de Partida'!A:A)</f>
        <v>1</v>
      </c>
    </row>
    <row r="220" spans="1:6" x14ac:dyDescent="0.3">
      <c r="A220" s="14">
        <v>5</v>
      </c>
      <c r="B220" s="15" t="s">
        <v>147</v>
      </c>
      <c r="C220" s="14">
        <f>_xlfn.XLOOKUP(B220,'Produtos &amp; Marcas'!B:B,'Produtos &amp; Marcas'!A:A)</f>
        <v>11</v>
      </c>
      <c r="D220" s="14">
        <v>0.8</v>
      </c>
      <c r="E220" s="15" t="s">
        <v>99</v>
      </c>
      <c r="F220" s="14">
        <f>_xlfn.XLOOKUP(E220,'Pontos de Partida'!B:B,'Pontos de Partida'!A:A)</f>
        <v>1</v>
      </c>
    </row>
    <row r="221" spans="1:6" x14ac:dyDescent="0.3">
      <c r="A221" s="14">
        <v>5</v>
      </c>
      <c r="B221" s="15" t="s">
        <v>163</v>
      </c>
      <c r="C221" s="14">
        <f>_xlfn.XLOOKUP(B221,'Produtos &amp; Marcas'!B:B,'Produtos &amp; Marcas'!A:A)</f>
        <v>7</v>
      </c>
      <c r="D221" s="14">
        <v>0.4</v>
      </c>
      <c r="E221" s="15" t="s">
        <v>99</v>
      </c>
      <c r="F221" s="14">
        <f>_xlfn.XLOOKUP(E221,'Pontos de Partida'!B:B,'Pontos de Partida'!A:A)</f>
        <v>1</v>
      </c>
    </row>
    <row r="222" spans="1:6" x14ac:dyDescent="0.3">
      <c r="A222" s="14">
        <v>5</v>
      </c>
      <c r="B222" s="15" t="s">
        <v>162</v>
      </c>
      <c r="C222" s="14">
        <f>_xlfn.XLOOKUP(B222,'Produtos &amp; Marcas'!B:B,'Produtos &amp; Marcas'!A:A)</f>
        <v>1</v>
      </c>
      <c r="D222" s="14">
        <v>2</v>
      </c>
      <c r="E222" s="15" t="s">
        <v>99</v>
      </c>
      <c r="F222" s="14">
        <f>_xlfn.XLOOKUP(E222,'Pontos de Partida'!B:B,'Pontos de Partida'!A:A)</f>
        <v>1</v>
      </c>
    </row>
    <row r="223" spans="1:6" x14ac:dyDescent="0.3">
      <c r="A223" s="14">
        <v>5</v>
      </c>
      <c r="B223" s="15" t="s">
        <v>160</v>
      </c>
      <c r="C223" s="14">
        <f>_xlfn.XLOOKUP(B223,'Produtos &amp; Marcas'!B:B,'Produtos &amp; Marcas'!A:A)</f>
        <v>25</v>
      </c>
      <c r="D223" s="14">
        <v>2</v>
      </c>
      <c r="E223" s="15" t="s">
        <v>99</v>
      </c>
      <c r="F223" s="14">
        <f>_xlfn.XLOOKUP(E223,'Pontos de Partida'!B:B,'Pontos de Partida'!A:A)</f>
        <v>1</v>
      </c>
    </row>
    <row r="224" spans="1:6" x14ac:dyDescent="0.3">
      <c r="A224" s="14">
        <v>5</v>
      </c>
      <c r="B224" s="15" t="s">
        <v>204</v>
      </c>
      <c r="C224" s="14">
        <f>_xlfn.XLOOKUP(B224,'Produtos &amp; Marcas'!B:B,'Produtos &amp; Marcas'!A:A)</f>
        <v>35</v>
      </c>
      <c r="D224" s="14">
        <v>0.2</v>
      </c>
      <c r="E224" s="15" t="s">
        <v>99</v>
      </c>
      <c r="F224" s="14">
        <f>_xlfn.XLOOKUP(E224,'Pontos de Partida'!B:B,'Pontos de Partida'!A:A)</f>
        <v>1</v>
      </c>
    </row>
    <row r="225" spans="1:6" x14ac:dyDescent="0.3">
      <c r="A225" s="14">
        <v>5</v>
      </c>
      <c r="B225" s="15" t="s">
        <v>190</v>
      </c>
      <c r="C225" s="14">
        <f>_xlfn.XLOOKUP(B225,'Produtos &amp; Marcas'!B:B,'Produtos &amp; Marcas'!A:A)</f>
        <v>19</v>
      </c>
      <c r="D225" s="14">
        <v>1</v>
      </c>
      <c r="E225" s="15" t="s">
        <v>99</v>
      </c>
      <c r="F225" s="14">
        <f>_xlfn.XLOOKUP(E225,'Pontos de Partida'!B:B,'Pontos de Partida'!A:A)</f>
        <v>1</v>
      </c>
    </row>
    <row r="226" spans="1:6" x14ac:dyDescent="0.3">
      <c r="A226" s="14">
        <v>5</v>
      </c>
      <c r="B226" s="15" t="s">
        <v>146</v>
      </c>
      <c r="C226" s="14">
        <f>_xlfn.XLOOKUP(B226,'Produtos &amp; Marcas'!B:B,'Produtos &amp; Marcas'!A:A)</f>
        <v>4</v>
      </c>
      <c r="D226" s="14">
        <v>3</v>
      </c>
      <c r="E226" s="15" t="s">
        <v>99</v>
      </c>
      <c r="F226" s="14">
        <f>_xlfn.XLOOKUP(E226,'Pontos de Partida'!B:B,'Pontos de Partida'!A:A)</f>
        <v>1</v>
      </c>
    </row>
    <row r="227" spans="1:6" x14ac:dyDescent="0.3">
      <c r="A227" s="14">
        <v>6</v>
      </c>
      <c r="B227" s="15" t="s">
        <v>160</v>
      </c>
      <c r="C227" s="14">
        <f>_xlfn.XLOOKUP(B227,'Produtos &amp; Marcas'!B:B,'Produtos &amp; Marcas'!A:A)</f>
        <v>25</v>
      </c>
      <c r="D227" s="14">
        <v>2</v>
      </c>
      <c r="E227" s="15" t="s">
        <v>99</v>
      </c>
      <c r="F227" s="14">
        <f>_xlfn.XLOOKUP(E227,'Pontos de Partida'!B:B,'Pontos de Partida'!A:A)</f>
        <v>1</v>
      </c>
    </row>
    <row r="228" spans="1:6" x14ac:dyDescent="0.3">
      <c r="A228" s="14">
        <v>6</v>
      </c>
      <c r="B228" s="15" t="s">
        <v>196</v>
      </c>
      <c r="C228" s="14">
        <f>_xlfn.XLOOKUP(B228,'Produtos &amp; Marcas'!B:B,'Produtos &amp; Marcas'!A:A)</f>
        <v>10</v>
      </c>
      <c r="D228" s="14">
        <v>0.8</v>
      </c>
      <c r="E228" s="15" t="s">
        <v>99</v>
      </c>
      <c r="F228" s="14">
        <f>_xlfn.XLOOKUP(E228,'Pontos de Partida'!B:B,'Pontos de Partida'!A:A)</f>
        <v>1</v>
      </c>
    </row>
    <row r="229" spans="1:6" x14ac:dyDescent="0.3">
      <c r="A229" s="14">
        <v>6</v>
      </c>
      <c r="B229" s="15" t="s">
        <v>204</v>
      </c>
      <c r="C229" s="14">
        <f>_xlfn.XLOOKUP(B229,'Produtos &amp; Marcas'!B:B,'Produtos &amp; Marcas'!A:A)</f>
        <v>35</v>
      </c>
      <c r="D229" s="14">
        <v>0.2</v>
      </c>
      <c r="E229" s="15" t="s">
        <v>99</v>
      </c>
      <c r="F229" s="14">
        <f>_xlfn.XLOOKUP(E229,'Pontos de Partida'!B:B,'Pontos de Partida'!A:A)</f>
        <v>1</v>
      </c>
    </row>
    <row r="230" spans="1:6" x14ac:dyDescent="0.3">
      <c r="A230" s="14">
        <v>6</v>
      </c>
      <c r="B230" s="15" t="s">
        <v>194</v>
      </c>
      <c r="C230" s="14">
        <f>_xlfn.XLOOKUP(B230,'Produtos &amp; Marcas'!B:B,'Produtos &amp; Marcas'!A:A)</f>
        <v>32</v>
      </c>
      <c r="D230" s="14">
        <v>1</v>
      </c>
      <c r="E230" s="15" t="s">
        <v>99</v>
      </c>
      <c r="F230" s="14">
        <f>_xlfn.XLOOKUP(E230,'Pontos de Partida'!B:B,'Pontos de Partida'!A:A)</f>
        <v>1</v>
      </c>
    </row>
    <row r="231" spans="1:6" x14ac:dyDescent="0.3">
      <c r="A231" s="14">
        <v>6</v>
      </c>
      <c r="B231" s="15" t="s">
        <v>195</v>
      </c>
      <c r="C231" s="14">
        <f>_xlfn.XLOOKUP(B231,'Produtos &amp; Marcas'!B:B,'Produtos &amp; Marcas'!A:A)</f>
        <v>21</v>
      </c>
      <c r="D231" s="14">
        <v>1</v>
      </c>
      <c r="E231" s="15" t="s">
        <v>99</v>
      </c>
      <c r="F231" s="14">
        <f>_xlfn.XLOOKUP(E231,'Pontos de Partida'!B:B,'Pontos de Partida'!A:A)</f>
        <v>1</v>
      </c>
    </row>
    <row r="232" spans="1:6" x14ac:dyDescent="0.3">
      <c r="A232" s="14">
        <v>6</v>
      </c>
      <c r="B232" s="15" t="s">
        <v>161</v>
      </c>
      <c r="C232" s="14">
        <f>_xlfn.XLOOKUP(B232,'Produtos &amp; Marcas'!B:B,'Produtos &amp; Marcas'!A:A)</f>
        <v>38</v>
      </c>
      <c r="D232" s="14">
        <v>0.5</v>
      </c>
      <c r="E232" s="15" t="s">
        <v>99</v>
      </c>
      <c r="F232" s="14">
        <f>_xlfn.XLOOKUP(E232,'Pontos de Partida'!B:B,'Pontos de Partida'!A:A)</f>
        <v>1</v>
      </c>
    </row>
    <row r="233" spans="1:6" x14ac:dyDescent="0.3">
      <c r="A233" s="14">
        <v>6</v>
      </c>
      <c r="B233" s="15" t="s">
        <v>191</v>
      </c>
      <c r="C233" s="14">
        <f>_xlfn.XLOOKUP(B233,'Produtos &amp; Marcas'!B:B,'Produtos &amp; Marcas'!A:A)</f>
        <v>24</v>
      </c>
      <c r="D233" s="14">
        <v>3</v>
      </c>
      <c r="E233" s="15" t="s">
        <v>99</v>
      </c>
      <c r="F233" s="14">
        <f>_xlfn.XLOOKUP(E233,'Pontos de Partida'!B:B,'Pontos de Partida'!A:A)</f>
        <v>1</v>
      </c>
    </row>
    <row r="234" spans="1:6" x14ac:dyDescent="0.3">
      <c r="A234" s="14">
        <v>6</v>
      </c>
      <c r="B234" s="15" t="s">
        <v>153</v>
      </c>
      <c r="C234" s="14">
        <f>_xlfn.XLOOKUP(B234,'Produtos &amp; Marcas'!B:B,'Produtos &amp; Marcas'!A:A)</f>
        <v>13</v>
      </c>
      <c r="D234" s="14">
        <v>1</v>
      </c>
      <c r="E234" s="15" t="s">
        <v>99</v>
      </c>
      <c r="F234" s="14">
        <f>_xlfn.XLOOKUP(E234,'Pontos de Partida'!B:B,'Pontos de Partida'!A:A)</f>
        <v>1</v>
      </c>
    </row>
    <row r="235" spans="1:6" x14ac:dyDescent="0.3">
      <c r="A235" s="14">
        <v>6</v>
      </c>
      <c r="B235" s="15" t="s">
        <v>163</v>
      </c>
      <c r="C235" s="14">
        <f>_xlfn.XLOOKUP(B235,'Produtos &amp; Marcas'!B:B,'Produtos &amp; Marcas'!A:A)</f>
        <v>7</v>
      </c>
      <c r="D235" s="14">
        <v>0.4</v>
      </c>
      <c r="E235" s="15" t="s">
        <v>99</v>
      </c>
      <c r="F235" s="14">
        <f>_xlfn.XLOOKUP(E235,'Pontos de Partida'!B:B,'Pontos de Partida'!A:A)</f>
        <v>1</v>
      </c>
    </row>
    <row r="236" spans="1:6" x14ac:dyDescent="0.3">
      <c r="A236" s="14">
        <v>6</v>
      </c>
      <c r="B236" s="15" t="s">
        <v>198</v>
      </c>
      <c r="C236" s="14">
        <f>_xlfn.XLOOKUP(B236,'Produtos &amp; Marcas'!B:B,'Produtos &amp; Marcas'!A:A)</f>
        <v>6</v>
      </c>
      <c r="D236" s="14">
        <v>3</v>
      </c>
      <c r="E236" s="15" t="s">
        <v>99</v>
      </c>
      <c r="F236" s="14">
        <f>_xlfn.XLOOKUP(E236,'Pontos de Partida'!B:B,'Pontos de Partida'!A:A)</f>
        <v>1</v>
      </c>
    </row>
    <row r="237" spans="1:6" x14ac:dyDescent="0.3">
      <c r="A237" s="14">
        <v>6</v>
      </c>
      <c r="B237" s="15" t="s">
        <v>197</v>
      </c>
      <c r="C237" s="14">
        <f>_xlfn.XLOOKUP(B237,'Produtos &amp; Marcas'!B:B,'Produtos &amp; Marcas'!A:A)</f>
        <v>29</v>
      </c>
      <c r="D237" s="14">
        <v>1</v>
      </c>
      <c r="E237" s="15" t="s">
        <v>99</v>
      </c>
      <c r="F237" s="14">
        <f>_xlfn.XLOOKUP(E237,'Pontos de Partida'!B:B,'Pontos de Partida'!A:A)</f>
        <v>1</v>
      </c>
    </row>
    <row r="238" spans="1:6" x14ac:dyDescent="0.3">
      <c r="A238" s="14">
        <v>6</v>
      </c>
      <c r="B238" s="15" t="s">
        <v>155</v>
      </c>
      <c r="C238" s="14">
        <f>_xlfn.XLOOKUP(B238,'Produtos &amp; Marcas'!B:B,'Produtos &amp; Marcas'!A:A)</f>
        <v>3</v>
      </c>
      <c r="D238" s="14">
        <v>2</v>
      </c>
      <c r="E238" s="15" t="s">
        <v>99</v>
      </c>
      <c r="F238" s="14">
        <f>_xlfn.XLOOKUP(E238,'Pontos de Partida'!B:B,'Pontos de Partida'!A:A)</f>
        <v>1</v>
      </c>
    </row>
    <row r="239" spans="1:6" x14ac:dyDescent="0.3">
      <c r="A239" s="14">
        <v>7</v>
      </c>
      <c r="B239" s="15" t="s">
        <v>153</v>
      </c>
      <c r="C239" s="14">
        <f>_xlfn.XLOOKUP(B239,'Produtos &amp; Marcas'!B:B,'Produtos &amp; Marcas'!A:A)</f>
        <v>13</v>
      </c>
      <c r="D239" s="14">
        <v>1</v>
      </c>
      <c r="E239" s="15" t="s">
        <v>99</v>
      </c>
      <c r="F239" s="14">
        <f>_xlfn.XLOOKUP(E239,'Pontos de Partida'!B:B,'Pontos de Partida'!A:A)</f>
        <v>1</v>
      </c>
    </row>
    <row r="240" spans="1:6" x14ac:dyDescent="0.3">
      <c r="A240" s="14">
        <v>7</v>
      </c>
      <c r="B240" s="15" t="s">
        <v>146</v>
      </c>
      <c r="C240" s="14">
        <f>_xlfn.XLOOKUP(B240,'Produtos &amp; Marcas'!B:B,'Produtos &amp; Marcas'!A:A)</f>
        <v>4</v>
      </c>
      <c r="D240" s="14">
        <v>3</v>
      </c>
      <c r="E240" s="15" t="s">
        <v>99</v>
      </c>
      <c r="F240" s="14">
        <f>_xlfn.XLOOKUP(E240,'Pontos de Partida'!B:B,'Pontos de Partida'!A:A)</f>
        <v>1</v>
      </c>
    </row>
    <row r="241" spans="1:6" x14ac:dyDescent="0.3">
      <c r="A241" s="14">
        <v>7</v>
      </c>
      <c r="B241" s="15" t="s">
        <v>199</v>
      </c>
      <c r="C241" s="14">
        <f>_xlfn.XLOOKUP(B241,'Produtos &amp; Marcas'!B:B,'Produtos &amp; Marcas'!A:A)</f>
        <v>23</v>
      </c>
      <c r="D241" s="14">
        <v>3</v>
      </c>
      <c r="E241" s="15" t="s">
        <v>99</v>
      </c>
      <c r="F241" s="14">
        <f>_xlfn.XLOOKUP(E241,'Pontos de Partida'!B:B,'Pontos de Partida'!A:A)</f>
        <v>1</v>
      </c>
    </row>
    <row r="242" spans="1:6" x14ac:dyDescent="0.3">
      <c r="A242" s="14">
        <v>7</v>
      </c>
      <c r="B242" s="15" t="s">
        <v>200</v>
      </c>
      <c r="C242" s="14">
        <f>_xlfn.XLOOKUP(B242,'Produtos &amp; Marcas'!B:B,'Produtos &amp; Marcas'!A:A)</f>
        <v>27</v>
      </c>
      <c r="D242" s="14">
        <v>2</v>
      </c>
      <c r="E242" s="15" t="s">
        <v>99</v>
      </c>
      <c r="F242" s="14">
        <f>_xlfn.XLOOKUP(E242,'Pontos de Partida'!B:B,'Pontos de Partida'!A:A)</f>
        <v>1</v>
      </c>
    </row>
    <row r="243" spans="1:6" x14ac:dyDescent="0.3">
      <c r="A243" s="14">
        <v>7</v>
      </c>
      <c r="B243" s="15" t="s">
        <v>158</v>
      </c>
      <c r="C243" s="14">
        <f>_xlfn.XLOOKUP(B243,'Produtos &amp; Marcas'!B:B,'Produtos &amp; Marcas'!A:A)</f>
        <v>2</v>
      </c>
      <c r="D243" s="14">
        <v>2</v>
      </c>
      <c r="E243" s="15" t="s">
        <v>99</v>
      </c>
      <c r="F243" s="14">
        <f>_xlfn.XLOOKUP(E243,'Pontos de Partida'!B:B,'Pontos de Partida'!A:A)</f>
        <v>1</v>
      </c>
    </row>
    <row r="244" spans="1:6" x14ac:dyDescent="0.3">
      <c r="A244" s="14">
        <v>8</v>
      </c>
      <c r="B244" s="15" t="s">
        <v>206</v>
      </c>
      <c r="C244" s="14">
        <f>_xlfn.XLOOKUP(B244,'Produtos &amp; Marcas'!B:B,'Produtos &amp; Marcas'!A:A)</f>
        <v>18</v>
      </c>
      <c r="D244" s="14">
        <v>1.5</v>
      </c>
      <c r="E244" s="15" t="s">
        <v>99</v>
      </c>
      <c r="F244" s="14">
        <f>_xlfn.XLOOKUP(E244,'Pontos de Partida'!B:B,'Pontos de Partida'!A:A)</f>
        <v>1</v>
      </c>
    </row>
    <row r="245" spans="1:6" x14ac:dyDescent="0.3">
      <c r="A245" s="14">
        <v>8</v>
      </c>
      <c r="B245" s="15" t="s">
        <v>154</v>
      </c>
      <c r="C245" s="14">
        <f>_xlfn.XLOOKUP(B245,'Produtos &amp; Marcas'!B:B,'Produtos &amp; Marcas'!A:A)</f>
        <v>22</v>
      </c>
      <c r="D245" s="14">
        <v>3</v>
      </c>
      <c r="E245" s="15" t="s">
        <v>99</v>
      </c>
      <c r="F245" s="14">
        <f>_xlfn.XLOOKUP(E245,'Pontos de Partida'!B:B,'Pontos de Partida'!A:A)</f>
        <v>1</v>
      </c>
    </row>
    <row r="246" spans="1:6" x14ac:dyDescent="0.3">
      <c r="A246" s="14">
        <v>8</v>
      </c>
      <c r="B246" s="15" t="s">
        <v>151</v>
      </c>
      <c r="C246" s="14">
        <f>_xlfn.XLOOKUP(B246,'Produtos &amp; Marcas'!B:B,'Produtos &amp; Marcas'!A:A)</f>
        <v>5</v>
      </c>
      <c r="D246" s="14">
        <v>3</v>
      </c>
      <c r="E246" s="15" t="s">
        <v>99</v>
      </c>
      <c r="F246" s="14">
        <f>_xlfn.XLOOKUP(E246,'Pontos de Partida'!B:B,'Pontos de Partida'!A:A)</f>
        <v>1</v>
      </c>
    </row>
    <row r="247" spans="1:6" x14ac:dyDescent="0.3">
      <c r="A247" s="14">
        <v>8</v>
      </c>
      <c r="B247" s="15" t="s">
        <v>190</v>
      </c>
      <c r="C247" s="14">
        <f>_xlfn.XLOOKUP(B247,'Produtos &amp; Marcas'!B:B,'Produtos &amp; Marcas'!A:A)</f>
        <v>19</v>
      </c>
      <c r="D247" s="14">
        <v>1</v>
      </c>
      <c r="E247" s="15" t="s">
        <v>99</v>
      </c>
      <c r="F247" s="14">
        <f>_xlfn.XLOOKUP(E247,'Pontos de Partida'!B:B,'Pontos de Partida'!A:A)</f>
        <v>1</v>
      </c>
    </row>
    <row r="248" spans="1:6" x14ac:dyDescent="0.3">
      <c r="A248" s="14">
        <v>9</v>
      </c>
      <c r="B248" s="15" t="s">
        <v>204</v>
      </c>
      <c r="C248" s="14">
        <f>_xlfn.XLOOKUP(B248,'Produtos &amp; Marcas'!B:B,'Produtos &amp; Marcas'!A:A)</f>
        <v>35</v>
      </c>
      <c r="D248" s="14">
        <v>0.2</v>
      </c>
      <c r="E248" s="15" t="s">
        <v>99</v>
      </c>
      <c r="F248" s="14">
        <f>_xlfn.XLOOKUP(E248,'Pontos de Partida'!B:B,'Pontos de Partida'!A:A)</f>
        <v>1</v>
      </c>
    </row>
    <row r="249" spans="1:6" x14ac:dyDescent="0.3">
      <c r="A249" s="14">
        <v>9</v>
      </c>
      <c r="B249" s="15" t="s">
        <v>203</v>
      </c>
      <c r="C249" s="14">
        <f>_xlfn.XLOOKUP(B249,'Produtos &amp; Marcas'!B:B,'Produtos &amp; Marcas'!A:A)</f>
        <v>30</v>
      </c>
      <c r="D249" s="14">
        <v>1</v>
      </c>
      <c r="E249" s="15" t="s">
        <v>99</v>
      </c>
      <c r="F249" s="14">
        <f>_xlfn.XLOOKUP(E249,'Pontos de Partida'!B:B,'Pontos de Partida'!A:A)</f>
        <v>1</v>
      </c>
    </row>
    <row r="250" spans="1:6" x14ac:dyDescent="0.3">
      <c r="A250" s="14">
        <v>9</v>
      </c>
      <c r="B250" s="15" t="s">
        <v>159</v>
      </c>
      <c r="C250" s="14">
        <f>_xlfn.XLOOKUP(B250,'Produtos &amp; Marcas'!B:B,'Produtos &amp; Marcas'!A:A)</f>
        <v>17</v>
      </c>
      <c r="D250" s="14">
        <v>1.5</v>
      </c>
      <c r="E250" s="15" t="s">
        <v>99</v>
      </c>
      <c r="F250" s="14">
        <f>_xlfn.XLOOKUP(E250,'Pontos de Partida'!B:B,'Pontos de Partida'!A:A)</f>
        <v>1</v>
      </c>
    </row>
    <row r="251" spans="1:6" x14ac:dyDescent="0.3">
      <c r="A251" s="14">
        <v>9</v>
      </c>
      <c r="B251" s="15" t="s">
        <v>161</v>
      </c>
      <c r="C251" s="14">
        <f>_xlfn.XLOOKUP(B251,'Produtos &amp; Marcas'!B:B,'Produtos &amp; Marcas'!A:A)</f>
        <v>38</v>
      </c>
      <c r="D251" s="14">
        <v>0.5</v>
      </c>
      <c r="E251" s="15" t="s">
        <v>99</v>
      </c>
      <c r="F251" s="14">
        <f>_xlfn.XLOOKUP(E251,'Pontos de Partida'!B:B,'Pontos de Partida'!A:A)</f>
        <v>1</v>
      </c>
    </row>
    <row r="252" spans="1:6" x14ac:dyDescent="0.3">
      <c r="A252" s="14">
        <v>10</v>
      </c>
      <c r="B252" s="15" t="s">
        <v>156</v>
      </c>
      <c r="C252" s="14">
        <f>_xlfn.XLOOKUP(B252,'Produtos &amp; Marcas'!B:B,'Produtos &amp; Marcas'!A:A)</f>
        <v>12</v>
      </c>
      <c r="D252" s="14">
        <v>0.8</v>
      </c>
      <c r="E252" s="15" t="s">
        <v>99</v>
      </c>
      <c r="F252" s="14">
        <f>_xlfn.XLOOKUP(E252,'Pontos de Partida'!B:B,'Pontos de Partida'!A:A)</f>
        <v>1</v>
      </c>
    </row>
    <row r="253" spans="1:6" x14ac:dyDescent="0.3">
      <c r="A253" s="14">
        <v>10</v>
      </c>
      <c r="B253" s="15" t="s">
        <v>150</v>
      </c>
      <c r="C253" s="14">
        <f>_xlfn.XLOOKUP(B253,'Produtos &amp; Marcas'!B:B,'Produtos &amp; Marcas'!A:A)</f>
        <v>37</v>
      </c>
      <c r="D253" s="14">
        <v>0.5</v>
      </c>
      <c r="E253" s="15" t="s">
        <v>99</v>
      </c>
      <c r="F253" s="14">
        <f>_xlfn.XLOOKUP(E253,'Pontos de Partida'!B:B,'Pontos de Partida'!A:A)</f>
        <v>1</v>
      </c>
    </row>
    <row r="254" spans="1:6" x14ac:dyDescent="0.3">
      <c r="A254" s="14">
        <v>10</v>
      </c>
      <c r="B254" s="15" t="s">
        <v>155</v>
      </c>
      <c r="C254" s="14">
        <f>_xlfn.XLOOKUP(B254,'Produtos &amp; Marcas'!B:B,'Produtos &amp; Marcas'!A:A)</f>
        <v>3</v>
      </c>
      <c r="D254" s="14">
        <v>2</v>
      </c>
      <c r="E254" s="15" t="s">
        <v>99</v>
      </c>
      <c r="F254" s="14">
        <f>_xlfn.XLOOKUP(E254,'Pontos de Partida'!B:B,'Pontos de Partida'!A:A)</f>
        <v>1</v>
      </c>
    </row>
    <row r="255" spans="1:6" x14ac:dyDescent="0.3">
      <c r="A255" s="14">
        <v>10</v>
      </c>
      <c r="B255" s="15" t="s">
        <v>198</v>
      </c>
      <c r="C255" s="14">
        <f>_xlfn.XLOOKUP(B255,'Produtos &amp; Marcas'!B:B,'Produtos &amp; Marcas'!A:A)</f>
        <v>6</v>
      </c>
      <c r="D255" s="14">
        <v>3</v>
      </c>
      <c r="E255" s="15" t="s">
        <v>99</v>
      </c>
      <c r="F255" s="14">
        <f>_xlfn.XLOOKUP(E255,'Pontos de Partida'!B:B,'Pontos de Partida'!A:A)</f>
        <v>1</v>
      </c>
    </row>
    <row r="256" spans="1:6" x14ac:dyDescent="0.3">
      <c r="A256" s="14">
        <v>10</v>
      </c>
      <c r="B256" s="15" t="s">
        <v>194</v>
      </c>
      <c r="C256" s="14">
        <f>_xlfn.XLOOKUP(B256,'Produtos &amp; Marcas'!B:B,'Produtos &amp; Marcas'!A:A)</f>
        <v>32</v>
      </c>
      <c r="D256" s="14">
        <v>1</v>
      </c>
      <c r="E256" s="15" t="s">
        <v>99</v>
      </c>
      <c r="F256" s="14">
        <f>_xlfn.XLOOKUP(E256,'Pontos de Partida'!B:B,'Pontos de Partida'!A:A)</f>
        <v>1</v>
      </c>
    </row>
    <row r="257" spans="1:6" x14ac:dyDescent="0.3">
      <c r="A257" s="14">
        <v>10</v>
      </c>
      <c r="B257" s="15" t="s">
        <v>153</v>
      </c>
      <c r="C257" s="14">
        <f>_xlfn.XLOOKUP(B257,'Produtos &amp; Marcas'!B:B,'Produtos &amp; Marcas'!A:A)</f>
        <v>13</v>
      </c>
      <c r="D257" s="14">
        <v>1</v>
      </c>
      <c r="E257" s="15" t="s">
        <v>99</v>
      </c>
      <c r="F257" s="14">
        <f>_xlfn.XLOOKUP(E257,'Pontos de Partida'!B:B,'Pontos de Partida'!A:A)</f>
        <v>1</v>
      </c>
    </row>
    <row r="258" spans="1:6" x14ac:dyDescent="0.3">
      <c r="A258" s="14">
        <v>10</v>
      </c>
      <c r="B258" s="15" t="s">
        <v>192</v>
      </c>
      <c r="C258" s="14">
        <f>_xlfn.XLOOKUP(B258,'Produtos &amp; Marcas'!B:B,'Produtos &amp; Marcas'!A:A)</f>
        <v>28</v>
      </c>
      <c r="D258" s="14">
        <v>1</v>
      </c>
      <c r="E258" s="15" t="s">
        <v>99</v>
      </c>
      <c r="F258" s="14">
        <f>_xlfn.XLOOKUP(E258,'Pontos de Partida'!B:B,'Pontos de Partida'!A:A)</f>
        <v>1</v>
      </c>
    </row>
    <row r="259" spans="1:6" x14ac:dyDescent="0.3">
      <c r="A259" s="14">
        <v>10</v>
      </c>
      <c r="B259" s="15" t="s">
        <v>193</v>
      </c>
      <c r="C259" s="14">
        <f>_xlfn.XLOOKUP(B259,'Produtos &amp; Marcas'!B:B,'Produtos &amp; Marcas'!A:A)</f>
        <v>34</v>
      </c>
      <c r="D259" s="14">
        <v>0.2</v>
      </c>
      <c r="E259" s="15" t="s">
        <v>99</v>
      </c>
      <c r="F259" s="14">
        <f>_xlfn.XLOOKUP(E259,'Pontos de Partida'!B:B,'Pontos de Partida'!A:A)</f>
        <v>1</v>
      </c>
    </row>
    <row r="260" spans="1:6" x14ac:dyDescent="0.3">
      <c r="A260" s="14">
        <v>10</v>
      </c>
      <c r="B260" s="15" t="s">
        <v>190</v>
      </c>
      <c r="C260" s="14">
        <f>_xlfn.XLOOKUP(B260,'Produtos &amp; Marcas'!B:B,'Produtos &amp; Marcas'!A:A)</f>
        <v>19</v>
      </c>
      <c r="D260" s="14">
        <v>1</v>
      </c>
      <c r="E260" s="15" t="s">
        <v>99</v>
      </c>
      <c r="F260" s="14">
        <f>_xlfn.XLOOKUP(E260,'Pontos de Partida'!B:B,'Pontos de Partida'!A:A)</f>
        <v>1</v>
      </c>
    </row>
    <row r="261" spans="1:6" x14ac:dyDescent="0.3">
      <c r="A261" s="14">
        <v>10</v>
      </c>
      <c r="B261" s="15" t="s">
        <v>200</v>
      </c>
      <c r="C261" s="14">
        <f>_xlfn.XLOOKUP(B261,'Produtos &amp; Marcas'!B:B,'Produtos &amp; Marcas'!A:A)</f>
        <v>27</v>
      </c>
      <c r="D261" s="14">
        <v>2</v>
      </c>
      <c r="E261" s="15" t="s">
        <v>99</v>
      </c>
      <c r="F261" s="14">
        <f>_xlfn.XLOOKUP(E261,'Pontos de Partida'!B:B,'Pontos de Partida'!A:A)</f>
        <v>1</v>
      </c>
    </row>
    <row r="262" spans="1:6" x14ac:dyDescent="0.3">
      <c r="A262" s="14">
        <v>11</v>
      </c>
      <c r="B262" s="15" t="s">
        <v>148</v>
      </c>
      <c r="C262" s="14">
        <f>_xlfn.XLOOKUP(B262,'Produtos &amp; Marcas'!B:B,'Produtos &amp; Marcas'!A:A)</f>
        <v>14</v>
      </c>
      <c r="D262" s="14">
        <v>1</v>
      </c>
      <c r="E262" s="15" t="s">
        <v>99</v>
      </c>
      <c r="F262" s="14">
        <f>_xlfn.XLOOKUP(E262,'Pontos de Partida'!B:B,'Pontos de Partida'!A:A)</f>
        <v>1</v>
      </c>
    </row>
    <row r="263" spans="1:6" x14ac:dyDescent="0.3">
      <c r="A263" s="14">
        <v>11</v>
      </c>
      <c r="B263" s="15" t="s">
        <v>199</v>
      </c>
      <c r="C263" s="14">
        <f>_xlfn.XLOOKUP(B263,'Produtos &amp; Marcas'!B:B,'Produtos &amp; Marcas'!A:A)</f>
        <v>23</v>
      </c>
      <c r="D263" s="14">
        <v>3</v>
      </c>
      <c r="E263" s="15" t="s">
        <v>99</v>
      </c>
      <c r="F263" s="14">
        <f>_xlfn.XLOOKUP(E263,'Pontos de Partida'!B:B,'Pontos de Partida'!A:A)</f>
        <v>1</v>
      </c>
    </row>
    <row r="264" spans="1:6" x14ac:dyDescent="0.3">
      <c r="A264" s="14">
        <v>11</v>
      </c>
      <c r="B264" s="15" t="s">
        <v>207</v>
      </c>
      <c r="C264" s="14">
        <f>_xlfn.XLOOKUP(B264,'Produtos &amp; Marcas'!B:B,'Produtos &amp; Marcas'!A:A)</f>
        <v>36</v>
      </c>
      <c r="D264" s="14">
        <v>0.2</v>
      </c>
      <c r="E264" s="15" t="s">
        <v>99</v>
      </c>
      <c r="F264" s="14">
        <f>_xlfn.XLOOKUP(E264,'Pontos de Partida'!B:B,'Pontos de Partida'!A:A)</f>
        <v>1</v>
      </c>
    </row>
    <row r="265" spans="1:6" x14ac:dyDescent="0.3">
      <c r="A265" s="14">
        <v>11</v>
      </c>
      <c r="B265" s="15" t="s">
        <v>159</v>
      </c>
      <c r="C265" s="14">
        <f>_xlfn.XLOOKUP(B265,'Produtos &amp; Marcas'!B:B,'Produtos &amp; Marcas'!A:A)</f>
        <v>17</v>
      </c>
      <c r="D265" s="14">
        <v>1.5</v>
      </c>
      <c r="E265" s="15" t="s">
        <v>99</v>
      </c>
      <c r="F265" s="14">
        <f>_xlfn.XLOOKUP(E265,'Pontos de Partida'!B:B,'Pontos de Partida'!A:A)</f>
        <v>1</v>
      </c>
    </row>
    <row r="266" spans="1:6" x14ac:dyDescent="0.3">
      <c r="A266" s="14">
        <v>11</v>
      </c>
      <c r="B266" s="15" t="s">
        <v>189</v>
      </c>
      <c r="C266" s="14">
        <f>_xlfn.XLOOKUP(B266,'Produtos &amp; Marcas'!B:B,'Produtos &amp; Marcas'!A:A)</f>
        <v>8</v>
      </c>
      <c r="D266" s="14">
        <v>0.4</v>
      </c>
      <c r="E266" s="15" t="s">
        <v>99</v>
      </c>
      <c r="F266" s="14">
        <f>_xlfn.XLOOKUP(E266,'Pontos de Partida'!B:B,'Pontos de Partida'!A:A)</f>
        <v>1</v>
      </c>
    </row>
    <row r="267" spans="1:6" x14ac:dyDescent="0.3">
      <c r="A267" s="14">
        <v>11</v>
      </c>
      <c r="B267" s="15" t="s">
        <v>197</v>
      </c>
      <c r="C267" s="14">
        <f>_xlfn.XLOOKUP(B267,'Produtos &amp; Marcas'!B:B,'Produtos &amp; Marcas'!A:A)</f>
        <v>29</v>
      </c>
      <c r="D267" s="14">
        <v>1</v>
      </c>
      <c r="E267" s="15" t="s">
        <v>99</v>
      </c>
      <c r="F267" s="14">
        <f>_xlfn.XLOOKUP(E267,'Pontos de Partida'!B:B,'Pontos de Partida'!A:A)</f>
        <v>1</v>
      </c>
    </row>
    <row r="268" spans="1:6" x14ac:dyDescent="0.3">
      <c r="A268" s="14">
        <v>11</v>
      </c>
      <c r="B268" s="15" t="s">
        <v>200</v>
      </c>
      <c r="C268" s="14">
        <f>_xlfn.XLOOKUP(B268,'Produtos &amp; Marcas'!B:B,'Produtos &amp; Marcas'!A:A)</f>
        <v>27</v>
      </c>
      <c r="D268" s="14">
        <v>2</v>
      </c>
      <c r="E268" s="15" t="s">
        <v>99</v>
      </c>
      <c r="F268" s="14">
        <f>_xlfn.XLOOKUP(E268,'Pontos de Partida'!B:B,'Pontos de Partida'!A:A)</f>
        <v>1</v>
      </c>
    </row>
    <row r="269" spans="1:6" x14ac:dyDescent="0.3">
      <c r="A269" s="14">
        <v>11</v>
      </c>
      <c r="B269" s="15" t="s">
        <v>158</v>
      </c>
      <c r="C269" s="14">
        <f>_xlfn.XLOOKUP(B269,'Produtos &amp; Marcas'!B:B,'Produtos &amp; Marcas'!A:A)</f>
        <v>2</v>
      </c>
      <c r="D269" s="14">
        <v>2</v>
      </c>
      <c r="E269" s="15" t="s">
        <v>99</v>
      </c>
      <c r="F269" s="14">
        <f>_xlfn.XLOOKUP(E269,'Pontos de Partida'!B:B,'Pontos de Partida'!A:A)</f>
        <v>1</v>
      </c>
    </row>
    <row r="270" spans="1:6" x14ac:dyDescent="0.3">
      <c r="A270" s="14">
        <f>A178+11</f>
        <v>12</v>
      </c>
      <c r="B270" s="15" t="s">
        <v>198</v>
      </c>
      <c r="C270" s="14">
        <f>_xlfn.XLOOKUP(B270,'Produtos &amp; Marcas'!B:B,'Produtos &amp; Marcas'!A:A)</f>
        <v>6</v>
      </c>
      <c r="D270" s="14">
        <v>3</v>
      </c>
      <c r="E270" s="15" t="s">
        <v>101</v>
      </c>
      <c r="F270" s="14">
        <f>_xlfn.XLOOKUP(E270,'Pontos de Partida'!B:B,'Pontos de Partida'!A:A)</f>
        <v>2</v>
      </c>
    </row>
    <row r="271" spans="1:6" x14ac:dyDescent="0.3">
      <c r="A271" s="14">
        <f t="shared" ref="A271:A334" si="3">A179+11</f>
        <v>12</v>
      </c>
      <c r="B271" s="15" t="s">
        <v>155</v>
      </c>
      <c r="C271" s="14">
        <f>_xlfn.XLOOKUP(B271,'Produtos &amp; Marcas'!B:B,'Produtos &amp; Marcas'!A:A)</f>
        <v>3</v>
      </c>
      <c r="D271" s="14">
        <v>2</v>
      </c>
      <c r="E271" s="15" t="s">
        <v>101</v>
      </c>
      <c r="F271" s="14">
        <f>_xlfn.XLOOKUP(E271,'Pontos de Partida'!B:B,'Pontos de Partida'!A:A)</f>
        <v>2</v>
      </c>
    </row>
    <row r="272" spans="1:6" x14ac:dyDescent="0.3">
      <c r="A272" s="14">
        <f t="shared" si="3"/>
        <v>12</v>
      </c>
      <c r="B272" s="15" t="s">
        <v>152</v>
      </c>
      <c r="C272" s="14">
        <f>_xlfn.XLOOKUP(B272,'Produtos &amp; Marcas'!B:B,'Produtos &amp; Marcas'!A:A)</f>
        <v>9</v>
      </c>
      <c r="D272" s="14">
        <v>0.4</v>
      </c>
      <c r="E272" s="15" t="s">
        <v>101</v>
      </c>
      <c r="F272" s="14">
        <f>_xlfn.XLOOKUP(E272,'Pontos de Partida'!B:B,'Pontos de Partida'!A:A)</f>
        <v>2</v>
      </c>
    </row>
    <row r="273" spans="1:6" x14ac:dyDescent="0.3">
      <c r="A273" s="14">
        <f t="shared" si="3"/>
        <v>12</v>
      </c>
      <c r="B273" s="15" t="s">
        <v>156</v>
      </c>
      <c r="C273" s="14">
        <f>_xlfn.XLOOKUP(B273,'Produtos &amp; Marcas'!B:B,'Produtos &amp; Marcas'!A:A)</f>
        <v>12</v>
      </c>
      <c r="D273" s="14">
        <v>0.8</v>
      </c>
      <c r="E273" s="15" t="s">
        <v>101</v>
      </c>
      <c r="F273" s="14">
        <f>_xlfn.XLOOKUP(E273,'Pontos de Partida'!B:B,'Pontos de Partida'!A:A)</f>
        <v>2</v>
      </c>
    </row>
    <row r="274" spans="1:6" x14ac:dyDescent="0.3">
      <c r="A274" s="14">
        <f t="shared" si="3"/>
        <v>12</v>
      </c>
      <c r="B274" s="15" t="s">
        <v>153</v>
      </c>
      <c r="C274" s="14">
        <f>_xlfn.XLOOKUP(B274,'Produtos &amp; Marcas'!B:B,'Produtos &amp; Marcas'!A:A)</f>
        <v>13</v>
      </c>
      <c r="D274" s="14">
        <v>1</v>
      </c>
      <c r="E274" s="15" t="s">
        <v>101</v>
      </c>
      <c r="F274" s="14">
        <f>_xlfn.XLOOKUP(E274,'Pontos de Partida'!B:B,'Pontos de Partida'!A:A)</f>
        <v>2</v>
      </c>
    </row>
    <row r="275" spans="1:6" x14ac:dyDescent="0.3">
      <c r="A275" s="14">
        <f t="shared" si="3"/>
        <v>12</v>
      </c>
      <c r="B275" s="15" t="s">
        <v>157</v>
      </c>
      <c r="C275" s="14">
        <f>_xlfn.XLOOKUP(B275,'Produtos &amp; Marcas'!B:B,'Produtos &amp; Marcas'!A:A)</f>
        <v>16</v>
      </c>
      <c r="D275" s="14">
        <v>1.5</v>
      </c>
      <c r="E275" s="15" t="s">
        <v>101</v>
      </c>
      <c r="F275" s="14">
        <f>_xlfn.XLOOKUP(E275,'Pontos de Partida'!B:B,'Pontos de Partida'!A:A)</f>
        <v>2</v>
      </c>
    </row>
    <row r="276" spans="1:6" x14ac:dyDescent="0.3">
      <c r="A276" s="14">
        <f t="shared" si="3"/>
        <v>12</v>
      </c>
      <c r="B276" s="15" t="s">
        <v>190</v>
      </c>
      <c r="C276" s="14">
        <f>_xlfn.XLOOKUP(B276,'Produtos &amp; Marcas'!B:B,'Produtos &amp; Marcas'!A:A)</f>
        <v>19</v>
      </c>
      <c r="D276" s="14">
        <v>1</v>
      </c>
      <c r="E276" s="15" t="s">
        <v>101</v>
      </c>
      <c r="F276" s="14">
        <f>_xlfn.XLOOKUP(E276,'Pontos de Partida'!B:B,'Pontos de Partida'!A:A)</f>
        <v>2</v>
      </c>
    </row>
    <row r="277" spans="1:6" x14ac:dyDescent="0.3">
      <c r="A277" s="14">
        <f t="shared" si="3"/>
        <v>12</v>
      </c>
      <c r="B277" s="15" t="s">
        <v>199</v>
      </c>
      <c r="C277" s="14">
        <f>_xlfn.XLOOKUP(B277,'Produtos &amp; Marcas'!B:B,'Produtos &amp; Marcas'!A:A)</f>
        <v>23</v>
      </c>
      <c r="D277" s="14">
        <v>3</v>
      </c>
      <c r="E277" s="15" t="s">
        <v>101</v>
      </c>
      <c r="F277" s="14">
        <f>_xlfn.XLOOKUP(E277,'Pontos de Partida'!B:B,'Pontos de Partida'!A:A)</f>
        <v>2</v>
      </c>
    </row>
    <row r="278" spans="1:6" x14ac:dyDescent="0.3">
      <c r="A278" s="14">
        <f t="shared" si="3"/>
        <v>12</v>
      </c>
      <c r="B278" s="15" t="s">
        <v>200</v>
      </c>
      <c r="C278" s="14">
        <f>_xlfn.XLOOKUP(B278,'Produtos &amp; Marcas'!B:B,'Produtos &amp; Marcas'!A:A)</f>
        <v>27</v>
      </c>
      <c r="D278" s="14">
        <v>2</v>
      </c>
      <c r="E278" s="15" t="s">
        <v>101</v>
      </c>
      <c r="F278" s="14">
        <f>_xlfn.XLOOKUP(E278,'Pontos de Partida'!B:B,'Pontos de Partida'!A:A)</f>
        <v>2</v>
      </c>
    </row>
    <row r="279" spans="1:6" x14ac:dyDescent="0.3">
      <c r="A279" s="14">
        <f t="shared" si="3"/>
        <v>12</v>
      </c>
      <c r="B279" s="15" t="s">
        <v>192</v>
      </c>
      <c r="C279" s="14">
        <f>_xlfn.XLOOKUP(B279,'Produtos &amp; Marcas'!B:B,'Produtos &amp; Marcas'!A:A)</f>
        <v>28</v>
      </c>
      <c r="D279" s="14">
        <v>1</v>
      </c>
      <c r="E279" s="15" t="s">
        <v>101</v>
      </c>
      <c r="F279" s="14">
        <f>_xlfn.XLOOKUP(E279,'Pontos de Partida'!B:B,'Pontos de Partida'!A:A)</f>
        <v>2</v>
      </c>
    </row>
    <row r="280" spans="1:6" x14ac:dyDescent="0.3">
      <c r="A280" s="14">
        <f t="shared" si="3"/>
        <v>12</v>
      </c>
      <c r="B280" s="15" t="s">
        <v>193</v>
      </c>
      <c r="C280" s="14">
        <f>_xlfn.XLOOKUP(B280,'Produtos &amp; Marcas'!B:B,'Produtos &amp; Marcas'!A:A)</f>
        <v>34</v>
      </c>
      <c r="D280" s="14">
        <v>0.2</v>
      </c>
      <c r="E280" s="15" t="s">
        <v>101</v>
      </c>
      <c r="F280" s="14">
        <f>_xlfn.XLOOKUP(E280,'Pontos de Partida'!B:B,'Pontos de Partida'!A:A)</f>
        <v>2</v>
      </c>
    </row>
    <row r="281" spans="1:6" x14ac:dyDescent="0.3">
      <c r="A281" s="14">
        <f t="shared" si="3"/>
        <v>12</v>
      </c>
      <c r="B281" s="15" t="s">
        <v>150</v>
      </c>
      <c r="C281" s="14">
        <f>_xlfn.XLOOKUP(B281,'Produtos &amp; Marcas'!B:B,'Produtos &amp; Marcas'!A:A)</f>
        <v>37</v>
      </c>
      <c r="D281" s="14">
        <v>0.5</v>
      </c>
      <c r="E281" s="15" t="s">
        <v>101</v>
      </c>
      <c r="F281" s="14">
        <f>_xlfn.XLOOKUP(E281,'Pontos de Partida'!B:B,'Pontos de Partida'!A:A)</f>
        <v>2</v>
      </c>
    </row>
    <row r="282" spans="1:6" x14ac:dyDescent="0.3">
      <c r="A282" s="14">
        <f t="shared" si="3"/>
        <v>12</v>
      </c>
      <c r="B282" s="15" t="s">
        <v>194</v>
      </c>
      <c r="C282" s="14">
        <f>_xlfn.XLOOKUP(B282,'Produtos &amp; Marcas'!B:B,'Produtos &amp; Marcas'!A:A)</f>
        <v>32</v>
      </c>
      <c r="D282" s="14">
        <v>1</v>
      </c>
      <c r="E282" s="15" t="s">
        <v>101</v>
      </c>
      <c r="F282" s="14">
        <f>_xlfn.XLOOKUP(E282,'Pontos de Partida'!B:B,'Pontos de Partida'!A:A)</f>
        <v>2</v>
      </c>
    </row>
    <row r="283" spans="1:6" x14ac:dyDescent="0.3">
      <c r="A283" s="14">
        <f t="shared" si="3"/>
        <v>13</v>
      </c>
      <c r="B283" s="15" t="s">
        <v>146</v>
      </c>
      <c r="C283" s="14">
        <f>_xlfn.XLOOKUP(B283,'Produtos &amp; Marcas'!B:B,'Produtos &amp; Marcas'!A:A)</f>
        <v>4</v>
      </c>
      <c r="D283" s="14">
        <v>3</v>
      </c>
      <c r="E283" s="15" t="s">
        <v>101</v>
      </c>
      <c r="F283" s="14">
        <f>_xlfn.XLOOKUP(E283,'Pontos de Partida'!B:B,'Pontos de Partida'!A:A)</f>
        <v>2</v>
      </c>
    </row>
    <row r="284" spans="1:6" x14ac:dyDescent="0.3">
      <c r="A284" s="14">
        <f t="shared" si="3"/>
        <v>13</v>
      </c>
      <c r="B284" s="15" t="s">
        <v>158</v>
      </c>
      <c r="C284" s="14">
        <f>_xlfn.XLOOKUP(B284,'Produtos &amp; Marcas'!B:B,'Produtos &amp; Marcas'!A:A)</f>
        <v>2</v>
      </c>
      <c r="D284" s="14">
        <v>2</v>
      </c>
      <c r="E284" s="15" t="s">
        <v>101</v>
      </c>
      <c r="F284" s="14">
        <f>_xlfn.XLOOKUP(E284,'Pontos de Partida'!B:B,'Pontos de Partida'!A:A)</f>
        <v>2</v>
      </c>
    </row>
    <row r="285" spans="1:6" x14ac:dyDescent="0.3">
      <c r="A285" s="14">
        <f t="shared" si="3"/>
        <v>13</v>
      </c>
      <c r="B285" s="15" t="s">
        <v>189</v>
      </c>
      <c r="C285" s="14">
        <f>_xlfn.XLOOKUP(B285,'Produtos &amp; Marcas'!B:B,'Produtos &amp; Marcas'!A:A)</f>
        <v>8</v>
      </c>
      <c r="D285" s="14">
        <v>0.4</v>
      </c>
      <c r="E285" s="15" t="s">
        <v>101</v>
      </c>
      <c r="F285" s="14">
        <f>_xlfn.XLOOKUP(E285,'Pontos de Partida'!B:B,'Pontos de Partida'!A:A)</f>
        <v>2</v>
      </c>
    </row>
    <row r="286" spans="1:6" x14ac:dyDescent="0.3">
      <c r="A286" s="14">
        <f t="shared" si="3"/>
        <v>13</v>
      </c>
      <c r="B286" s="15" t="s">
        <v>147</v>
      </c>
      <c r="C286" s="14">
        <f>_xlfn.XLOOKUP(B286,'Produtos &amp; Marcas'!B:B,'Produtos &amp; Marcas'!A:A)</f>
        <v>11</v>
      </c>
      <c r="D286" s="14">
        <v>0.8</v>
      </c>
      <c r="E286" s="15" t="s">
        <v>101</v>
      </c>
      <c r="F286" s="14">
        <f>_xlfn.XLOOKUP(E286,'Pontos de Partida'!B:B,'Pontos de Partida'!A:A)</f>
        <v>2</v>
      </c>
    </row>
    <row r="287" spans="1:6" x14ac:dyDescent="0.3">
      <c r="A287" s="14">
        <f t="shared" si="3"/>
        <v>13</v>
      </c>
      <c r="B287" s="15" t="s">
        <v>201</v>
      </c>
      <c r="C287" s="14">
        <f>_xlfn.XLOOKUP(B287,'Produtos &amp; Marcas'!B:B,'Produtos &amp; Marcas'!A:A)</f>
        <v>15</v>
      </c>
      <c r="D287" s="14">
        <v>1</v>
      </c>
      <c r="E287" s="15" t="s">
        <v>101</v>
      </c>
      <c r="F287" s="14">
        <f>_xlfn.XLOOKUP(E287,'Pontos de Partida'!B:B,'Pontos de Partida'!A:A)</f>
        <v>2</v>
      </c>
    </row>
    <row r="288" spans="1:6" x14ac:dyDescent="0.3">
      <c r="A288" s="14">
        <f t="shared" si="3"/>
        <v>13</v>
      </c>
      <c r="B288" s="15" t="s">
        <v>159</v>
      </c>
      <c r="C288" s="14">
        <f>_xlfn.XLOOKUP(B288,'Produtos &amp; Marcas'!B:B,'Produtos &amp; Marcas'!A:A)</f>
        <v>17</v>
      </c>
      <c r="D288" s="14">
        <v>1.5</v>
      </c>
      <c r="E288" s="15" t="s">
        <v>101</v>
      </c>
      <c r="F288" s="14">
        <f>_xlfn.XLOOKUP(E288,'Pontos de Partida'!B:B,'Pontos de Partida'!A:A)</f>
        <v>2</v>
      </c>
    </row>
    <row r="289" spans="1:6" x14ac:dyDescent="0.3">
      <c r="A289" s="14">
        <f t="shared" si="3"/>
        <v>13</v>
      </c>
      <c r="B289" s="15" t="s">
        <v>202</v>
      </c>
      <c r="C289" s="14">
        <f>_xlfn.XLOOKUP(B289,'Produtos &amp; Marcas'!B:B,'Produtos &amp; Marcas'!A:A)</f>
        <v>20</v>
      </c>
      <c r="D289" s="14">
        <v>1</v>
      </c>
      <c r="E289" s="15" t="s">
        <v>101</v>
      </c>
      <c r="F289" s="14">
        <f>_xlfn.XLOOKUP(E289,'Pontos de Partida'!B:B,'Pontos de Partida'!A:A)</f>
        <v>2</v>
      </c>
    </row>
    <row r="290" spans="1:6" x14ac:dyDescent="0.3">
      <c r="A290" s="14">
        <f t="shared" si="3"/>
        <v>13</v>
      </c>
      <c r="B290" s="15" t="s">
        <v>154</v>
      </c>
      <c r="C290" s="14">
        <f>_xlfn.XLOOKUP(B290,'Produtos &amp; Marcas'!B:B,'Produtos &amp; Marcas'!A:A)</f>
        <v>22</v>
      </c>
      <c r="D290" s="14">
        <v>3</v>
      </c>
      <c r="E290" s="15" t="s">
        <v>101</v>
      </c>
      <c r="F290" s="14">
        <f>_xlfn.XLOOKUP(E290,'Pontos de Partida'!B:B,'Pontos de Partida'!A:A)</f>
        <v>2</v>
      </c>
    </row>
    <row r="291" spans="1:6" x14ac:dyDescent="0.3">
      <c r="A291" s="14">
        <f t="shared" si="3"/>
        <v>13</v>
      </c>
      <c r="B291" s="15" t="s">
        <v>160</v>
      </c>
      <c r="C291" s="14">
        <f>_xlfn.XLOOKUP(B291,'Produtos &amp; Marcas'!B:B,'Produtos &amp; Marcas'!A:A)</f>
        <v>25</v>
      </c>
      <c r="D291" s="14">
        <v>2</v>
      </c>
      <c r="E291" s="15" t="s">
        <v>101</v>
      </c>
      <c r="F291" s="14">
        <f>_xlfn.XLOOKUP(E291,'Pontos de Partida'!B:B,'Pontos de Partida'!A:A)</f>
        <v>2</v>
      </c>
    </row>
    <row r="292" spans="1:6" x14ac:dyDescent="0.3">
      <c r="A292" s="14">
        <f t="shared" si="3"/>
        <v>13</v>
      </c>
      <c r="B292" s="15" t="s">
        <v>203</v>
      </c>
      <c r="C292" s="14">
        <f>_xlfn.XLOOKUP(B292,'Produtos &amp; Marcas'!B:B,'Produtos &amp; Marcas'!A:A)</f>
        <v>30</v>
      </c>
      <c r="D292" s="14">
        <v>1</v>
      </c>
      <c r="E292" s="15" t="s">
        <v>101</v>
      </c>
      <c r="F292" s="14">
        <f>_xlfn.XLOOKUP(E292,'Pontos de Partida'!B:B,'Pontos de Partida'!A:A)</f>
        <v>2</v>
      </c>
    </row>
    <row r="293" spans="1:6" x14ac:dyDescent="0.3">
      <c r="A293" s="14">
        <f t="shared" si="3"/>
        <v>13</v>
      </c>
      <c r="B293" s="15" t="s">
        <v>204</v>
      </c>
      <c r="C293" s="14">
        <f>_xlfn.XLOOKUP(B293,'Produtos &amp; Marcas'!B:B,'Produtos &amp; Marcas'!A:A)</f>
        <v>35</v>
      </c>
      <c r="D293" s="14">
        <v>0.2</v>
      </c>
      <c r="E293" s="15" t="s">
        <v>101</v>
      </c>
      <c r="F293" s="14">
        <f>_xlfn.XLOOKUP(E293,'Pontos de Partida'!B:B,'Pontos de Partida'!A:A)</f>
        <v>2</v>
      </c>
    </row>
    <row r="294" spans="1:6" x14ac:dyDescent="0.3">
      <c r="A294" s="14">
        <f t="shared" si="3"/>
        <v>13</v>
      </c>
      <c r="B294" s="15" t="s">
        <v>161</v>
      </c>
      <c r="C294" s="14">
        <f>_xlfn.XLOOKUP(B294,'Produtos &amp; Marcas'!B:B,'Produtos &amp; Marcas'!A:A)</f>
        <v>38</v>
      </c>
      <c r="D294" s="14">
        <v>0.5</v>
      </c>
      <c r="E294" s="15" t="s">
        <v>101</v>
      </c>
      <c r="F294" s="14">
        <f>_xlfn.XLOOKUP(E294,'Pontos de Partida'!B:B,'Pontos de Partida'!A:A)</f>
        <v>2</v>
      </c>
    </row>
    <row r="295" spans="1:6" x14ac:dyDescent="0.3">
      <c r="A295" s="14">
        <f t="shared" si="3"/>
        <v>13</v>
      </c>
      <c r="B295" s="15" t="s">
        <v>205</v>
      </c>
      <c r="C295" s="14">
        <f>_xlfn.XLOOKUP(B295,'Produtos &amp; Marcas'!B:B,'Produtos &amp; Marcas'!A:A)</f>
        <v>31</v>
      </c>
      <c r="D295" s="14">
        <v>1</v>
      </c>
      <c r="E295" s="15" t="s">
        <v>101</v>
      </c>
      <c r="F295" s="14">
        <f>_xlfn.XLOOKUP(E295,'Pontos de Partida'!B:B,'Pontos de Partida'!A:A)</f>
        <v>2</v>
      </c>
    </row>
    <row r="296" spans="1:6" x14ac:dyDescent="0.3">
      <c r="A296" s="14">
        <f t="shared" si="3"/>
        <v>14</v>
      </c>
      <c r="B296" s="15" t="s">
        <v>151</v>
      </c>
      <c r="C296" s="14">
        <f>_xlfn.XLOOKUP(B296,'Produtos &amp; Marcas'!B:B,'Produtos &amp; Marcas'!A:A)</f>
        <v>5</v>
      </c>
      <c r="D296" s="14">
        <v>3</v>
      </c>
      <c r="E296" s="15" t="s">
        <v>101</v>
      </c>
      <c r="F296" s="14">
        <f>_xlfn.XLOOKUP(E296,'Pontos de Partida'!B:B,'Pontos de Partida'!A:A)</f>
        <v>2</v>
      </c>
    </row>
    <row r="297" spans="1:6" x14ac:dyDescent="0.3">
      <c r="A297" s="14">
        <f t="shared" si="3"/>
        <v>14</v>
      </c>
      <c r="B297" s="15" t="s">
        <v>162</v>
      </c>
      <c r="C297" s="14">
        <f>_xlfn.XLOOKUP(B297,'Produtos &amp; Marcas'!B:B,'Produtos &amp; Marcas'!A:A)</f>
        <v>1</v>
      </c>
      <c r="D297" s="14">
        <v>2</v>
      </c>
      <c r="E297" s="15" t="s">
        <v>101</v>
      </c>
      <c r="F297" s="14">
        <f>_xlfn.XLOOKUP(E297,'Pontos de Partida'!B:B,'Pontos de Partida'!A:A)</f>
        <v>2</v>
      </c>
    </row>
    <row r="298" spans="1:6" x14ac:dyDescent="0.3">
      <c r="A298" s="14">
        <f t="shared" si="3"/>
        <v>14</v>
      </c>
      <c r="B298" s="15" t="s">
        <v>152</v>
      </c>
      <c r="C298" s="14">
        <f>_xlfn.XLOOKUP(B298,'Produtos &amp; Marcas'!B:B,'Produtos &amp; Marcas'!A:A)</f>
        <v>9</v>
      </c>
      <c r="D298" s="14">
        <v>0.4</v>
      </c>
      <c r="E298" s="15" t="s">
        <v>101</v>
      </c>
      <c r="F298" s="14">
        <f>_xlfn.XLOOKUP(E298,'Pontos de Partida'!B:B,'Pontos de Partida'!A:A)</f>
        <v>2</v>
      </c>
    </row>
    <row r="299" spans="1:6" x14ac:dyDescent="0.3">
      <c r="A299" s="14">
        <f t="shared" si="3"/>
        <v>14</v>
      </c>
      <c r="B299" s="15" t="s">
        <v>147</v>
      </c>
      <c r="C299" s="14">
        <f>_xlfn.XLOOKUP(B299,'Produtos &amp; Marcas'!B:B,'Produtos &amp; Marcas'!A:A)</f>
        <v>11</v>
      </c>
      <c r="D299" s="14">
        <v>0.8</v>
      </c>
      <c r="E299" s="15" t="s">
        <v>101</v>
      </c>
      <c r="F299" s="14">
        <f>_xlfn.XLOOKUP(E299,'Pontos de Partida'!B:B,'Pontos de Partida'!A:A)</f>
        <v>2</v>
      </c>
    </row>
    <row r="300" spans="1:6" x14ac:dyDescent="0.3">
      <c r="A300" s="14">
        <f t="shared" si="3"/>
        <v>14</v>
      </c>
      <c r="B300" s="15" t="s">
        <v>148</v>
      </c>
      <c r="C300" s="14">
        <f>_xlfn.XLOOKUP(B300,'Produtos &amp; Marcas'!B:B,'Produtos &amp; Marcas'!A:A)</f>
        <v>14</v>
      </c>
      <c r="D300" s="14">
        <v>1</v>
      </c>
      <c r="E300" s="15" t="s">
        <v>101</v>
      </c>
      <c r="F300" s="14">
        <f>_xlfn.XLOOKUP(E300,'Pontos de Partida'!B:B,'Pontos de Partida'!A:A)</f>
        <v>2</v>
      </c>
    </row>
    <row r="301" spans="1:6" x14ac:dyDescent="0.3">
      <c r="A301" s="14">
        <f t="shared" si="3"/>
        <v>14</v>
      </c>
      <c r="B301" s="15" t="s">
        <v>206</v>
      </c>
      <c r="C301" s="14">
        <f>_xlfn.XLOOKUP(B301,'Produtos &amp; Marcas'!B:B,'Produtos &amp; Marcas'!A:A)</f>
        <v>18</v>
      </c>
      <c r="D301" s="14">
        <v>1.5</v>
      </c>
      <c r="E301" s="15" t="s">
        <v>101</v>
      </c>
      <c r="F301" s="14">
        <f>_xlfn.XLOOKUP(E301,'Pontos de Partida'!B:B,'Pontos de Partida'!A:A)</f>
        <v>2</v>
      </c>
    </row>
    <row r="302" spans="1:6" x14ac:dyDescent="0.3">
      <c r="A302" s="14">
        <f t="shared" si="3"/>
        <v>14</v>
      </c>
      <c r="B302" s="15" t="s">
        <v>195</v>
      </c>
      <c r="C302" s="14">
        <f>_xlfn.XLOOKUP(B302,'Produtos &amp; Marcas'!B:B,'Produtos &amp; Marcas'!A:A)</f>
        <v>21</v>
      </c>
      <c r="D302" s="14">
        <v>1</v>
      </c>
      <c r="E302" s="15" t="s">
        <v>101</v>
      </c>
      <c r="F302" s="14">
        <f>_xlfn.XLOOKUP(E302,'Pontos de Partida'!B:B,'Pontos de Partida'!A:A)</f>
        <v>2</v>
      </c>
    </row>
    <row r="303" spans="1:6" x14ac:dyDescent="0.3">
      <c r="A303" s="14">
        <f t="shared" si="3"/>
        <v>14</v>
      </c>
      <c r="B303" s="15" t="s">
        <v>199</v>
      </c>
      <c r="C303" s="14">
        <f>_xlfn.XLOOKUP(B303,'Produtos &amp; Marcas'!B:B,'Produtos &amp; Marcas'!A:A)</f>
        <v>23</v>
      </c>
      <c r="D303" s="14">
        <v>3</v>
      </c>
      <c r="E303" s="15" t="s">
        <v>101</v>
      </c>
      <c r="F303" s="14">
        <f>_xlfn.XLOOKUP(E303,'Pontos de Partida'!B:B,'Pontos de Partida'!A:A)</f>
        <v>2</v>
      </c>
    </row>
    <row r="304" spans="1:6" x14ac:dyDescent="0.3">
      <c r="A304" s="14">
        <f t="shared" si="3"/>
        <v>14</v>
      </c>
      <c r="B304" s="15" t="s">
        <v>200</v>
      </c>
      <c r="C304" s="14">
        <f>_xlfn.XLOOKUP(B304,'Produtos &amp; Marcas'!B:B,'Produtos &amp; Marcas'!A:A)</f>
        <v>27</v>
      </c>
      <c r="D304" s="14">
        <v>2</v>
      </c>
      <c r="E304" s="15" t="s">
        <v>101</v>
      </c>
      <c r="F304" s="14">
        <f>_xlfn.XLOOKUP(E304,'Pontos de Partida'!B:B,'Pontos de Partida'!A:A)</f>
        <v>2</v>
      </c>
    </row>
    <row r="305" spans="1:6" x14ac:dyDescent="0.3">
      <c r="A305" s="14">
        <f t="shared" si="3"/>
        <v>14</v>
      </c>
      <c r="B305" s="15" t="s">
        <v>197</v>
      </c>
      <c r="C305" s="14">
        <f>_xlfn.XLOOKUP(B305,'Produtos &amp; Marcas'!B:B,'Produtos &amp; Marcas'!A:A)</f>
        <v>29</v>
      </c>
      <c r="D305" s="14">
        <v>1</v>
      </c>
      <c r="E305" s="15" t="s">
        <v>101</v>
      </c>
      <c r="F305" s="14">
        <f>_xlfn.XLOOKUP(E305,'Pontos de Partida'!B:B,'Pontos de Partida'!A:A)</f>
        <v>2</v>
      </c>
    </row>
    <row r="306" spans="1:6" x14ac:dyDescent="0.3">
      <c r="A306" s="14">
        <f t="shared" si="3"/>
        <v>14</v>
      </c>
      <c r="B306" s="15" t="s">
        <v>207</v>
      </c>
      <c r="C306" s="14">
        <f>_xlfn.XLOOKUP(B306,'Produtos &amp; Marcas'!B:B,'Produtos &amp; Marcas'!A:A)</f>
        <v>36</v>
      </c>
      <c r="D306" s="14">
        <v>0.2</v>
      </c>
      <c r="E306" s="15" t="s">
        <v>101</v>
      </c>
      <c r="F306" s="14">
        <f>_xlfn.XLOOKUP(E306,'Pontos de Partida'!B:B,'Pontos de Partida'!A:A)</f>
        <v>2</v>
      </c>
    </row>
    <row r="307" spans="1:6" x14ac:dyDescent="0.3">
      <c r="A307" s="14">
        <f t="shared" si="3"/>
        <v>14</v>
      </c>
      <c r="B307" s="15" t="s">
        <v>208</v>
      </c>
      <c r="C307" s="14">
        <f>_xlfn.XLOOKUP(B307,'Produtos &amp; Marcas'!B:B,'Produtos &amp; Marcas'!A:A)</f>
        <v>39</v>
      </c>
      <c r="D307" s="14">
        <v>0.5</v>
      </c>
      <c r="E307" s="15" t="s">
        <v>101</v>
      </c>
      <c r="F307" s="14">
        <f>_xlfn.XLOOKUP(E307,'Pontos de Partida'!B:B,'Pontos de Partida'!A:A)</f>
        <v>2</v>
      </c>
    </row>
    <row r="308" spans="1:6" x14ac:dyDescent="0.3">
      <c r="A308" s="14">
        <f t="shared" si="3"/>
        <v>14</v>
      </c>
      <c r="B308" s="15" t="s">
        <v>194</v>
      </c>
      <c r="C308" s="14">
        <f>_xlfn.XLOOKUP(B308,'Produtos &amp; Marcas'!B:B,'Produtos &amp; Marcas'!A:A)</f>
        <v>32</v>
      </c>
      <c r="D308" s="14">
        <v>1</v>
      </c>
      <c r="E308" s="15" t="s">
        <v>101</v>
      </c>
      <c r="F308" s="14">
        <f>_xlfn.XLOOKUP(E308,'Pontos de Partida'!B:B,'Pontos de Partida'!A:A)</f>
        <v>2</v>
      </c>
    </row>
    <row r="309" spans="1:6" x14ac:dyDescent="0.3">
      <c r="A309" s="14">
        <f t="shared" si="3"/>
        <v>15</v>
      </c>
      <c r="B309" s="15" t="s">
        <v>193</v>
      </c>
      <c r="C309" s="14">
        <f>_xlfn.XLOOKUP(B309,'Produtos &amp; Marcas'!B:B,'Produtos &amp; Marcas'!A:A)</f>
        <v>34</v>
      </c>
      <c r="D309" s="14">
        <v>0.2</v>
      </c>
      <c r="E309" s="15" t="s">
        <v>101</v>
      </c>
      <c r="F309" s="14">
        <f>_xlfn.XLOOKUP(E309,'Pontos de Partida'!B:B,'Pontos de Partida'!A:A)</f>
        <v>2</v>
      </c>
    </row>
    <row r="310" spans="1:6" x14ac:dyDescent="0.3">
      <c r="A310" s="14">
        <f t="shared" si="3"/>
        <v>15</v>
      </c>
      <c r="B310" s="15" t="s">
        <v>158</v>
      </c>
      <c r="C310" s="14">
        <f>_xlfn.XLOOKUP(B310,'Produtos &amp; Marcas'!B:B,'Produtos &amp; Marcas'!A:A)</f>
        <v>2</v>
      </c>
      <c r="D310" s="14">
        <v>2</v>
      </c>
      <c r="E310" s="15" t="s">
        <v>101</v>
      </c>
      <c r="F310" s="14">
        <f>_xlfn.XLOOKUP(E310,'Pontos de Partida'!B:B,'Pontos de Partida'!A:A)</f>
        <v>2</v>
      </c>
    </row>
    <row r="311" spans="1:6" x14ac:dyDescent="0.3">
      <c r="A311" s="14">
        <f t="shared" si="3"/>
        <v>15</v>
      </c>
      <c r="B311" s="15" t="s">
        <v>146</v>
      </c>
      <c r="C311" s="14">
        <f>_xlfn.XLOOKUP(B311,'Produtos &amp; Marcas'!B:B,'Produtos &amp; Marcas'!A:A)</f>
        <v>4</v>
      </c>
      <c r="D311" s="14">
        <v>3</v>
      </c>
      <c r="E311" s="15" t="s">
        <v>101</v>
      </c>
      <c r="F311" s="14">
        <f>_xlfn.XLOOKUP(E311,'Pontos de Partida'!B:B,'Pontos de Partida'!A:A)</f>
        <v>2</v>
      </c>
    </row>
    <row r="312" spans="1:6" x14ac:dyDescent="0.3">
      <c r="A312" s="14">
        <f t="shared" si="3"/>
        <v>16</v>
      </c>
      <c r="B312" s="15" t="s">
        <v>147</v>
      </c>
      <c r="C312" s="14">
        <f>_xlfn.XLOOKUP(B312,'Produtos &amp; Marcas'!B:B,'Produtos &amp; Marcas'!A:A)</f>
        <v>11</v>
      </c>
      <c r="D312" s="14">
        <v>0.8</v>
      </c>
      <c r="E312" s="15" t="s">
        <v>101</v>
      </c>
      <c r="F312" s="14">
        <f>_xlfn.XLOOKUP(E312,'Pontos de Partida'!B:B,'Pontos de Partida'!A:A)</f>
        <v>2</v>
      </c>
    </row>
    <row r="313" spans="1:6" x14ac:dyDescent="0.3">
      <c r="A313" s="14">
        <f t="shared" si="3"/>
        <v>16</v>
      </c>
      <c r="B313" s="15" t="s">
        <v>163</v>
      </c>
      <c r="C313" s="14">
        <f>_xlfn.XLOOKUP(B313,'Produtos &amp; Marcas'!B:B,'Produtos &amp; Marcas'!A:A)</f>
        <v>7</v>
      </c>
      <c r="D313" s="14">
        <v>0.4</v>
      </c>
      <c r="E313" s="15" t="s">
        <v>101</v>
      </c>
      <c r="F313" s="14">
        <f>_xlfn.XLOOKUP(E313,'Pontos de Partida'!B:B,'Pontos de Partida'!A:A)</f>
        <v>2</v>
      </c>
    </row>
    <row r="314" spans="1:6" x14ac:dyDescent="0.3">
      <c r="A314" s="14">
        <f t="shared" si="3"/>
        <v>16</v>
      </c>
      <c r="B314" s="15" t="s">
        <v>162</v>
      </c>
      <c r="C314" s="14">
        <f>_xlfn.XLOOKUP(B314,'Produtos &amp; Marcas'!B:B,'Produtos &amp; Marcas'!A:A)</f>
        <v>1</v>
      </c>
      <c r="D314" s="14">
        <v>2</v>
      </c>
      <c r="E314" s="15" t="s">
        <v>101</v>
      </c>
      <c r="F314" s="14">
        <f>_xlfn.XLOOKUP(E314,'Pontos de Partida'!B:B,'Pontos de Partida'!A:A)</f>
        <v>2</v>
      </c>
    </row>
    <row r="315" spans="1:6" x14ac:dyDescent="0.3">
      <c r="A315" s="14">
        <f t="shared" si="3"/>
        <v>16</v>
      </c>
      <c r="B315" s="15" t="s">
        <v>160</v>
      </c>
      <c r="C315" s="14">
        <f>_xlfn.XLOOKUP(B315,'Produtos &amp; Marcas'!B:B,'Produtos &amp; Marcas'!A:A)</f>
        <v>25</v>
      </c>
      <c r="D315" s="14">
        <v>2</v>
      </c>
      <c r="E315" s="15" t="s">
        <v>101</v>
      </c>
      <c r="F315" s="14">
        <f>_xlfn.XLOOKUP(E315,'Pontos de Partida'!B:B,'Pontos de Partida'!A:A)</f>
        <v>2</v>
      </c>
    </row>
    <row r="316" spans="1:6" x14ac:dyDescent="0.3">
      <c r="A316" s="14">
        <f t="shared" si="3"/>
        <v>16</v>
      </c>
      <c r="B316" s="15" t="s">
        <v>204</v>
      </c>
      <c r="C316" s="14">
        <f>_xlfn.XLOOKUP(B316,'Produtos &amp; Marcas'!B:B,'Produtos &amp; Marcas'!A:A)</f>
        <v>35</v>
      </c>
      <c r="D316" s="14">
        <v>0.2</v>
      </c>
      <c r="E316" s="15" t="s">
        <v>101</v>
      </c>
      <c r="F316" s="14">
        <f>_xlfn.XLOOKUP(E316,'Pontos de Partida'!B:B,'Pontos de Partida'!A:A)</f>
        <v>2</v>
      </c>
    </row>
    <row r="317" spans="1:6" x14ac:dyDescent="0.3">
      <c r="A317" s="14">
        <f t="shared" si="3"/>
        <v>16</v>
      </c>
      <c r="B317" s="15" t="s">
        <v>190</v>
      </c>
      <c r="C317" s="14">
        <f>_xlfn.XLOOKUP(B317,'Produtos &amp; Marcas'!B:B,'Produtos &amp; Marcas'!A:A)</f>
        <v>19</v>
      </c>
      <c r="D317" s="14">
        <v>1</v>
      </c>
      <c r="E317" s="15" t="s">
        <v>101</v>
      </c>
      <c r="F317" s="14">
        <f>_xlfn.XLOOKUP(E317,'Pontos de Partida'!B:B,'Pontos de Partida'!A:A)</f>
        <v>2</v>
      </c>
    </row>
    <row r="318" spans="1:6" x14ac:dyDescent="0.3">
      <c r="A318" s="14">
        <f t="shared" si="3"/>
        <v>16</v>
      </c>
      <c r="B318" s="15" t="s">
        <v>146</v>
      </c>
      <c r="C318" s="14">
        <f>_xlfn.XLOOKUP(B318,'Produtos &amp; Marcas'!B:B,'Produtos &amp; Marcas'!A:A)</f>
        <v>4</v>
      </c>
      <c r="D318" s="14">
        <v>3</v>
      </c>
      <c r="E318" s="15" t="s">
        <v>101</v>
      </c>
      <c r="F318" s="14">
        <f>_xlfn.XLOOKUP(E318,'Pontos de Partida'!B:B,'Pontos de Partida'!A:A)</f>
        <v>2</v>
      </c>
    </row>
    <row r="319" spans="1:6" x14ac:dyDescent="0.3">
      <c r="A319" s="14">
        <f t="shared" si="3"/>
        <v>17</v>
      </c>
      <c r="B319" s="15" t="s">
        <v>160</v>
      </c>
      <c r="C319" s="14">
        <f>_xlfn.XLOOKUP(B319,'Produtos &amp; Marcas'!B:B,'Produtos &amp; Marcas'!A:A)</f>
        <v>25</v>
      </c>
      <c r="D319" s="14">
        <v>2</v>
      </c>
      <c r="E319" s="15" t="s">
        <v>101</v>
      </c>
      <c r="F319" s="14">
        <f>_xlfn.XLOOKUP(E319,'Pontos de Partida'!B:B,'Pontos de Partida'!A:A)</f>
        <v>2</v>
      </c>
    </row>
    <row r="320" spans="1:6" x14ac:dyDescent="0.3">
      <c r="A320" s="14">
        <f t="shared" si="3"/>
        <v>17</v>
      </c>
      <c r="B320" s="15" t="s">
        <v>196</v>
      </c>
      <c r="C320" s="14">
        <f>_xlfn.XLOOKUP(B320,'Produtos &amp; Marcas'!B:B,'Produtos &amp; Marcas'!A:A)</f>
        <v>10</v>
      </c>
      <c r="D320" s="14">
        <v>0.8</v>
      </c>
      <c r="E320" s="15" t="s">
        <v>101</v>
      </c>
      <c r="F320" s="14">
        <f>_xlfn.XLOOKUP(E320,'Pontos de Partida'!B:B,'Pontos de Partida'!A:A)</f>
        <v>2</v>
      </c>
    </row>
    <row r="321" spans="1:6" x14ac:dyDescent="0.3">
      <c r="A321" s="14">
        <f t="shared" si="3"/>
        <v>17</v>
      </c>
      <c r="B321" s="15" t="s">
        <v>204</v>
      </c>
      <c r="C321" s="14">
        <f>_xlfn.XLOOKUP(B321,'Produtos &amp; Marcas'!B:B,'Produtos &amp; Marcas'!A:A)</f>
        <v>35</v>
      </c>
      <c r="D321" s="14">
        <v>0.2</v>
      </c>
      <c r="E321" s="15" t="s">
        <v>101</v>
      </c>
      <c r="F321" s="14">
        <f>_xlfn.XLOOKUP(E321,'Pontos de Partida'!B:B,'Pontos de Partida'!A:A)</f>
        <v>2</v>
      </c>
    </row>
    <row r="322" spans="1:6" x14ac:dyDescent="0.3">
      <c r="A322" s="14">
        <f t="shared" si="3"/>
        <v>17</v>
      </c>
      <c r="B322" s="15" t="s">
        <v>194</v>
      </c>
      <c r="C322" s="14">
        <f>_xlfn.XLOOKUP(B322,'Produtos &amp; Marcas'!B:B,'Produtos &amp; Marcas'!A:A)</f>
        <v>32</v>
      </c>
      <c r="D322" s="14">
        <v>1</v>
      </c>
      <c r="E322" s="15" t="s">
        <v>101</v>
      </c>
      <c r="F322" s="14">
        <f>_xlfn.XLOOKUP(E322,'Pontos de Partida'!B:B,'Pontos de Partida'!A:A)</f>
        <v>2</v>
      </c>
    </row>
    <row r="323" spans="1:6" x14ac:dyDescent="0.3">
      <c r="A323" s="14">
        <f t="shared" si="3"/>
        <v>17</v>
      </c>
      <c r="B323" s="15" t="s">
        <v>195</v>
      </c>
      <c r="C323" s="14">
        <f>_xlfn.XLOOKUP(B323,'Produtos &amp; Marcas'!B:B,'Produtos &amp; Marcas'!A:A)</f>
        <v>21</v>
      </c>
      <c r="D323" s="14">
        <v>1</v>
      </c>
      <c r="E323" s="15" t="s">
        <v>101</v>
      </c>
      <c r="F323" s="14">
        <f>_xlfn.XLOOKUP(E323,'Pontos de Partida'!B:B,'Pontos de Partida'!A:A)</f>
        <v>2</v>
      </c>
    </row>
    <row r="324" spans="1:6" x14ac:dyDescent="0.3">
      <c r="A324" s="14">
        <f t="shared" si="3"/>
        <v>17</v>
      </c>
      <c r="B324" s="15" t="s">
        <v>161</v>
      </c>
      <c r="C324" s="14">
        <f>_xlfn.XLOOKUP(B324,'Produtos &amp; Marcas'!B:B,'Produtos &amp; Marcas'!A:A)</f>
        <v>38</v>
      </c>
      <c r="D324" s="14">
        <v>0.5</v>
      </c>
      <c r="E324" s="15" t="s">
        <v>101</v>
      </c>
      <c r="F324" s="14">
        <f>_xlfn.XLOOKUP(E324,'Pontos de Partida'!B:B,'Pontos de Partida'!A:A)</f>
        <v>2</v>
      </c>
    </row>
    <row r="325" spans="1:6" x14ac:dyDescent="0.3">
      <c r="A325" s="14">
        <f t="shared" si="3"/>
        <v>17</v>
      </c>
      <c r="B325" s="15" t="s">
        <v>191</v>
      </c>
      <c r="C325" s="14">
        <f>_xlfn.XLOOKUP(B325,'Produtos &amp; Marcas'!B:B,'Produtos &amp; Marcas'!A:A)</f>
        <v>24</v>
      </c>
      <c r="D325" s="14">
        <v>3</v>
      </c>
      <c r="E325" s="15" t="s">
        <v>101</v>
      </c>
      <c r="F325" s="14">
        <f>_xlfn.XLOOKUP(E325,'Pontos de Partida'!B:B,'Pontos de Partida'!A:A)</f>
        <v>2</v>
      </c>
    </row>
    <row r="326" spans="1:6" x14ac:dyDescent="0.3">
      <c r="A326" s="14">
        <f t="shared" si="3"/>
        <v>17</v>
      </c>
      <c r="B326" s="15" t="s">
        <v>153</v>
      </c>
      <c r="C326" s="14">
        <f>_xlfn.XLOOKUP(B326,'Produtos &amp; Marcas'!B:B,'Produtos &amp; Marcas'!A:A)</f>
        <v>13</v>
      </c>
      <c r="D326" s="14">
        <v>1</v>
      </c>
      <c r="E326" s="15" t="s">
        <v>101</v>
      </c>
      <c r="F326" s="14">
        <f>_xlfn.XLOOKUP(E326,'Pontos de Partida'!B:B,'Pontos de Partida'!A:A)</f>
        <v>2</v>
      </c>
    </row>
    <row r="327" spans="1:6" x14ac:dyDescent="0.3">
      <c r="A327" s="14">
        <f t="shared" si="3"/>
        <v>17</v>
      </c>
      <c r="B327" s="15" t="s">
        <v>163</v>
      </c>
      <c r="C327" s="14">
        <f>_xlfn.XLOOKUP(B327,'Produtos &amp; Marcas'!B:B,'Produtos &amp; Marcas'!A:A)</f>
        <v>7</v>
      </c>
      <c r="D327" s="14">
        <v>0.4</v>
      </c>
      <c r="E327" s="15" t="s">
        <v>101</v>
      </c>
      <c r="F327" s="14">
        <f>_xlfn.XLOOKUP(E327,'Pontos de Partida'!B:B,'Pontos de Partida'!A:A)</f>
        <v>2</v>
      </c>
    </row>
    <row r="328" spans="1:6" x14ac:dyDescent="0.3">
      <c r="A328" s="14">
        <f t="shared" si="3"/>
        <v>17</v>
      </c>
      <c r="B328" s="15" t="s">
        <v>198</v>
      </c>
      <c r="C328" s="14">
        <f>_xlfn.XLOOKUP(B328,'Produtos &amp; Marcas'!B:B,'Produtos &amp; Marcas'!A:A)</f>
        <v>6</v>
      </c>
      <c r="D328" s="14">
        <v>3</v>
      </c>
      <c r="E328" s="15" t="s">
        <v>101</v>
      </c>
      <c r="F328" s="14">
        <f>_xlfn.XLOOKUP(E328,'Pontos de Partida'!B:B,'Pontos de Partida'!A:A)</f>
        <v>2</v>
      </c>
    </row>
    <row r="329" spans="1:6" x14ac:dyDescent="0.3">
      <c r="A329" s="14">
        <f t="shared" si="3"/>
        <v>17</v>
      </c>
      <c r="B329" s="15" t="s">
        <v>197</v>
      </c>
      <c r="C329" s="14">
        <f>_xlfn.XLOOKUP(B329,'Produtos &amp; Marcas'!B:B,'Produtos &amp; Marcas'!A:A)</f>
        <v>29</v>
      </c>
      <c r="D329" s="14">
        <v>1</v>
      </c>
      <c r="E329" s="15" t="s">
        <v>101</v>
      </c>
      <c r="F329" s="14">
        <f>_xlfn.XLOOKUP(E329,'Pontos de Partida'!B:B,'Pontos de Partida'!A:A)</f>
        <v>2</v>
      </c>
    </row>
    <row r="330" spans="1:6" x14ac:dyDescent="0.3">
      <c r="A330" s="14">
        <f t="shared" si="3"/>
        <v>17</v>
      </c>
      <c r="B330" s="15" t="s">
        <v>155</v>
      </c>
      <c r="C330" s="14">
        <f>_xlfn.XLOOKUP(B330,'Produtos &amp; Marcas'!B:B,'Produtos &amp; Marcas'!A:A)</f>
        <v>3</v>
      </c>
      <c r="D330" s="14">
        <v>2</v>
      </c>
      <c r="E330" s="15" t="s">
        <v>101</v>
      </c>
      <c r="F330" s="14">
        <f>_xlfn.XLOOKUP(E330,'Pontos de Partida'!B:B,'Pontos de Partida'!A:A)</f>
        <v>2</v>
      </c>
    </row>
    <row r="331" spans="1:6" x14ac:dyDescent="0.3">
      <c r="A331" s="14">
        <f t="shared" si="3"/>
        <v>18</v>
      </c>
      <c r="B331" s="15" t="s">
        <v>153</v>
      </c>
      <c r="C331" s="14">
        <f>_xlfn.XLOOKUP(B331,'Produtos &amp; Marcas'!B:B,'Produtos &amp; Marcas'!A:A)</f>
        <v>13</v>
      </c>
      <c r="D331" s="14">
        <v>1</v>
      </c>
      <c r="E331" s="15" t="s">
        <v>101</v>
      </c>
      <c r="F331" s="14">
        <f>_xlfn.XLOOKUP(E331,'Pontos de Partida'!B:B,'Pontos de Partida'!A:A)</f>
        <v>2</v>
      </c>
    </row>
    <row r="332" spans="1:6" x14ac:dyDescent="0.3">
      <c r="A332" s="14">
        <f t="shared" si="3"/>
        <v>18</v>
      </c>
      <c r="B332" s="15" t="s">
        <v>146</v>
      </c>
      <c r="C332" s="14">
        <f>_xlfn.XLOOKUP(B332,'Produtos &amp; Marcas'!B:B,'Produtos &amp; Marcas'!A:A)</f>
        <v>4</v>
      </c>
      <c r="D332" s="14">
        <v>3</v>
      </c>
      <c r="E332" s="15" t="s">
        <v>101</v>
      </c>
      <c r="F332" s="14">
        <f>_xlfn.XLOOKUP(E332,'Pontos de Partida'!B:B,'Pontos de Partida'!A:A)</f>
        <v>2</v>
      </c>
    </row>
    <row r="333" spans="1:6" x14ac:dyDescent="0.3">
      <c r="A333" s="14">
        <f t="shared" si="3"/>
        <v>18</v>
      </c>
      <c r="B333" s="15" t="s">
        <v>199</v>
      </c>
      <c r="C333" s="14">
        <f>_xlfn.XLOOKUP(B333,'Produtos &amp; Marcas'!B:B,'Produtos &amp; Marcas'!A:A)</f>
        <v>23</v>
      </c>
      <c r="D333" s="14">
        <v>3</v>
      </c>
      <c r="E333" s="15" t="s">
        <v>101</v>
      </c>
      <c r="F333" s="14">
        <f>_xlfn.XLOOKUP(E333,'Pontos de Partida'!B:B,'Pontos de Partida'!A:A)</f>
        <v>2</v>
      </c>
    </row>
    <row r="334" spans="1:6" x14ac:dyDescent="0.3">
      <c r="A334" s="14">
        <f t="shared" si="3"/>
        <v>18</v>
      </c>
      <c r="B334" s="15" t="s">
        <v>200</v>
      </c>
      <c r="C334" s="14">
        <f>_xlfn.XLOOKUP(B334,'Produtos &amp; Marcas'!B:B,'Produtos &amp; Marcas'!A:A)</f>
        <v>27</v>
      </c>
      <c r="D334" s="14">
        <v>2</v>
      </c>
      <c r="E334" s="15" t="s">
        <v>101</v>
      </c>
      <c r="F334" s="14">
        <f>_xlfn.XLOOKUP(E334,'Pontos de Partida'!B:B,'Pontos de Partida'!A:A)</f>
        <v>2</v>
      </c>
    </row>
    <row r="335" spans="1:6" x14ac:dyDescent="0.3">
      <c r="A335" s="14">
        <f t="shared" ref="A335:A398" si="4">A243+11</f>
        <v>18</v>
      </c>
      <c r="B335" s="15" t="s">
        <v>158</v>
      </c>
      <c r="C335" s="14">
        <f>_xlfn.XLOOKUP(B335,'Produtos &amp; Marcas'!B:B,'Produtos &amp; Marcas'!A:A)</f>
        <v>2</v>
      </c>
      <c r="D335" s="14">
        <v>2</v>
      </c>
      <c r="E335" s="15" t="s">
        <v>101</v>
      </c>
      <c r="F335" s="14">
        <f>_xlfn.XLOOKUP(E335,'Pontos de Partida'!B:B,'Pontos de Partida'!A:A)</f>
        <v>2</v>
      </c>
    </row>
    <row r="336" spans="1:6" x14ac:dyDescent="0.3">
      <c r="A336" s="14">
        <f t="shared" si="4"/>
        <v>19</v>
      </c>
      <c r="B336" s="15" t="s">
        <v>206</v>
      </c>
      <c r="C336" s="14">
        <f>_xlfn.XLOOKUP(B336,'Produtos &amp; Marcas'!B:B,'Produtos &amp; Marcas'!A:A)</f>
        <v>18</v>
      </c>
      <c r="D336" s="14">
        <v>1.5</v>
      </c>
      <c r="E336" s="15" t="s">
        <v>101</v>
      </c>
      <c r="F336" s="14">
        <f>_xlfn.XLOOKUP(E336,'Pontos de Partida'!B:B,'Pontos de Partida'!A:A)</f>
        <v>2</v>
      </c>
    </row>
    <row r="337" spans="1:6" x14ac:dyDescent="0.3">
      <c r="A337" s="14">
        <f t="shared" si="4"/>
        <v>19</v>
      </c>
      <c r="B337" s="15" t="s">
        <v>154</v>
      </c>
      <c r="C337" s="14">
        <f>_xlfn.XLOOKUP(B337,'Produtos &amp; Marcas'!B:B,'Produtos &amp; Marcas'!A:A)</f>
        <v>22</v>
      </c>
      <c r="D337" s="14">
        <v>3</v>
      </c>
      <c r="E337" s="15" t="s">
        <v>101</v>
      </c>
      <c r="F337" s="14">
        <f>_xlfn.XLOOKUP(E337,'Pontos de Partida'!B:B,'Pontos de Partida'!A:A)</f>
        <v>2</v>
      </c>
    </row>
    <row r="338" spans="1:6" x14ac:dyDescent="0.3">
      <c r="A338" s="14">
        <f t="shared" si="4"/>
        <v>19</v>
      </c>
      <c r="B338" s="15" t="s">
        <v>151</v>
      </c>
      <c r="C338" s="14">
        <f>_xlfn.XLOOKUP(B338,'Produtos &amp; Marcas'!B:B,'Produtos &amp; Marcas'!A:A)</f>
        <v>5</v>
      </c>
      <c r="D338" s="14">
        <v>3</v>
      </c>
      <c r="E338" s="15" t="s">
        <v>101</v>
      </c>
      <c r="F338" s="14">
        <f>_xlfn.XLOOKUP(E338,'Pontos de Partida'!B:B,'Pontos de Partida'!A:A)</f>
        <v>2</v>
      </c>
    </row>
    <row r="339" spans="1:6" x14ac:dyDescent="0.3">
      <c r="A339" s="14">
        <f t="shared" si="4"/>
        <v>19</v>
      </c>
      <c r="B339" s="15" t="s">
        <v>190</v>
      </c>
      <c r="C339" s="14">
        <f>_xlfn.XLOOKUP(B339,'Produtos &amp; Marcas'!B:B,'Produtos &amp; Marcas'!A:A)</f>
        <v>19</v>
      </c>
      <c r="D339" s="14">
        <v>1</v>
      </c>
      <c r="E339" s="15" t="s">
        <v>101</v>
      </c>
      <c r="F339" s="14">
        <f>_xlfn.XLOOKUP(E339,'Pontos de Partida'!B:B,'Pontos de Partida'!A:A)</f>
        <v>2</v>
      </c>
    </row>
    <row r="340" spans="1:6" x14ac:dyDescent="0.3">
      <c r="A340" s="14">
        <f t="shared" si="4"/>
        <v>20</v>
      </c>
      <c r="B340" s="15" t="s">
        <v>204</v>
      </c>
      <c r="C340" s="14">
        <f>_xlfn.XLOOKUP(B340,'Produtos &amp; Marcas'!B:B,'Produtos &amp; Marcas'!A:A)</f>
        <v>35</v>
      </c>
      <c r="D340" s="14">
        <v>0.2</v>
      </c>
      <c r="E340" s="15" t="s">
        <v>101</v>
      </c>
      <c r="F340" s="14">
        <f>_xlfn.XLOOKUP(E340,'Pontos de Partida'!B:B,'Pontos de Partida'!A:A)</f>
        <v>2</v>
      </c>
    </row>
    <row r="341" spans="1:6" x14ac:dyDescent="0.3">
      <c r="A341" s="14">
        <f t="shared" si="4"/>
        <v>20</v>
      </c>
      <c r="B341" s="15" t="s">
        <v>203</v>
      </c>
      <c r="C341" s="14">
        <f>_xlfn.XLOOKUP(B341,'Produtos &amp; Marcas'!B:B,'Produtos &amp; Marcas'!A:A)</f>
        <v>30</v>
      </c>
      <c r="D341" s="14">
        <v>1</v>
      </c>
      <c r="E341" s="15" t="s">
        <v>101</v>
      </c>
      <c r="F341" s="14">
        <f>_xlfn.XLOOKUP(E341,'Pontos de Partida'!B:B,'Pontos de Partida'!A:A)</f>
        <v>2</v>
      </c>
    </row>
    <row r="342" spans="1:6" x14ac:dyDescent="0.3">
      <c r="A342" s="14">
        <f t="shared" si="4"/>
        <v>20</v>
      </c>
      <c r="B342" s="15" t="s">
        <v>159</v>
      </c>
      <c r="C342" s="14">
        <f>_xlfn.XLOOKUP(B342,'Produtos &amp; Marcas'!B:B,'Produtos &amp; Marcas'!A:A)</f>
        <v>17</v>
      </c>
      <c r="D342" s="14">
        <v>1.5</v>
      </c>
      <c r="E342" s="15" t="s">
        <v>101</v>
      </c>
      <c r="F342" s="14">
        <f>_xlfn.XLOOKUP(E342,'Pontos de Partida'!B:B,'Pontos de Partida'!A:A)</f>
        <v>2</v>
      </c>
    </row>
    <row r="343" spans="1:6" x14ac:dyDescent="0.3">
      <c r="A343" s="14">
        <f t="shared" si="4"/>
        <v>20</v>
      </c>
      <c r="B343" s="15" t="s">
        <v>161</v>
      </c>
      <c r="C343" s="14">
        <f>_xlfn.XLOOKUP(B343,'Produtos &amp; Marcas'!B:B,'Produtos &amp; Marcas'!A:A)</f>
        <v>38</v>
      </c>
      <c r="D343" s="14">
        <v>0.5</v>
      </c>
      <c r="E343" s="15" t="s">
        <v>101</v>
      </c>
      <c r="F343" s="14">
        <f>_xlfn.XLOOKUP(E343,'Pontos de Partida'!B:B,'Pontos de Partida'!A:A)</f>
        <v>2</v>
      </c>
    </row>
    <row r="344" spans="1:6" x14ac:dyDescent="0.3">
      <c r="A344" s="14">
        <f t="shared" si="4"/>
        <v>21</v>
      </c>
      <c r="B344" s="15" t="s">
        <v>156</v>
      </c>
      <c r="C344" s="14">
        <f>_xlfn.XLOOKUP(B344,'Produtos &amp; Marcas'!B:B,'Produtos &amp; Marcas'!A:A)</f>
        <v>12</v>
      </c>
      <c r="D344" s="14">
        <v>0.8</v>
      </c>
      <c r="E344" s="15" t="s">
        <v>101</v>
      </c>
      <c r="F344" s="14">
        <f>_xlfn.XLOOKUP(E344,'Pontos de Partida'!B:B,'Pontos de Partida'!A:A)</f>
        <v>2</v>
      </c>
    </row>
    <row r="345" spans="1:6" x14ac:dyDescent="0.3">
      <c r="A345" s="14">
        <f t="shared" si="4"/>
        <v>21</v>
      </c>
      <c r="B345" s="15" t="s">
        <v>150</v>
      </c>
      <c r="C345" s="14">
        <f>_xlfn.XLOOKUP(B345,'Produtos &amp; Marcas'!B:B,'Produtos &amp; Marcas'!A:A)</f>
        <v>37</v>
      </c>
      <c r="D345" s="14">
        <v>0.5</v>
      </c>
      <c r="E345" s="15" t="s">
        <v>101</v>
      </c>
      <c r="F345" s="14">
        <f>_xlfn.XLOOKUP(E345,'Pontos de Partida'!B:B,'Pontos de Partida'!A:A)</f>
        <v>2</v>
      </c>
    </row>
    <row r="346" spans="1:6" x14ac:dyDescent="0.3">
      <c r="A346" s="14">
        <f t="shared" si="4"/>
        <v>21</v>
      </c>
      <c r="B346" s="15" t="s">
        <v>155</v>
      </c>
      <c r="C346" s="14">
        <f>_xlfn.XLOOKUP(B346,'Produtos &amp; Marcas'!B:B,'Produtos &amp; Marcas'!A:A)</f>
        <v>3</v>
      </c>
      <c r="D346" s="14">
        <v>2</v>
      </c>
      <c r="E346" s="15" t="s">
        <v>101</v>
      </c>
      <c r="F346" s="14">
        <f>_xlfn.XLOOKUP(E346,'Pontos de Partida'!B:B,'Pontos de Partida'!A:A)</f>
        <v>2</v>
      </c>
    </row>
    <row r="347" spans="1:6" x14ac:dyDescent="0.3">
      <c r="A347" s="14">
        <f t="shared" si="4"/>
        <v>21</v>
      </c>
      <c r="B347" s="15" t="s">
        <v>198</v>
      </c>
      <c r="C347" s="14">
        <f>_xlfn.XLOOKUP(B347,'Produtos &amp; Marcas'!B:B,'Produtos &amp; Marcas'!A:A)</f>
        <v>6</v>
      </c>
      <c r="D347" s="14">
        <v>3</v>
      </c>
      <c r="E347" s="15" t="s">
        <v>101</v>
      </c>
      <c r="F347" s="14">
        <f>_xlfn.XLOOKUP(E347,'Pontos de Partida'!B:B,'Pontos de Partida'!A:A)</f>
        <v>2</v>
      </c>
    </row>
    <row r="348" spans="1:6" x14ac:dyDescent="0.3">
      <c r="A348" s="14">
        <f t="shared" si="4"/>
        <v>21</v>
      </c>
      <c r="B348" s="15" t="s">
        <v>194</v>
      </c>
      <c r="C348" s="14">
        <f>_xlfn.XLOOKUP(B348,'Produtos &amp; Marcas'!B:B,'Produtos &amp; Marcas'!A:A)</f>
        <v>32</v>
      </c>
      <c r="D348" s="14">
        <v>1</v>
      </c>
      <c r="E348" s="15" t="s">
        <v>101</v>
      </c>
      <c r="F348" s="14">
        <f>_xlfn.XLOOKUP(E348,'Pontos de Partida'!B:B,'Pontos de Partida'!A:A)</f>
        <v>2</v>
      </c>
    </row>
    <row r="349" spans="1:6" x14ac:dyDescent="0.3">
      <c r="A349" s="14">
        <f t="shared" si="4"/>
        <v>21</v>
      </c>
      <c r="B349" s="15" t="s">
        <v>153</v>
      </c>
      <c r="C349" s="14">
        <f>_xlfn.XLOOKUP(B349,'Produtos &amp; Marcas'!B:B,'Produtos &amp; Marcas'!A:A)</f>
        <v>13</v>
      </c>
      <c r="D349" s="14">
        <v>1</v>
      </c>
      <c r="E349" s="15" t="s">
        <v>101</v>
      </c>
      <c r="F349" s="14">
        <f>_xlfn.XLOOKUP(E349,'Pontos de Partida'!B:B,'Pontos de Partida'!A:A)</f>
        <v>2</v>
      </c>
    </row>
    <row r="350" spans="1:6" x14ac:dyDescent="0.3">
      <c r="A350" s="14">
        <f t="shared" si="4"/>
        <v>21</v>
      </c>
      <c r="B350" s="15" t="s">
        <v>192</v>
      </c>
      <c r="C350" s="14">
        <f>_xlfn.XLOOKUP(B350,'Produtos &amp; Marcas'!B:B,'Produtos &amp; Marcas'!A:A)</f>
        <v>28</v>
      </c>
      <c r="D350" s="14">
        <v>1</v>
      </c>
      <c r="E350" s="15" t="s">
        <v>101</v>
      </c>
      <c r="F350" s="14">
        <f>_xlfn.XLOOKUP(E350,'Pontos de Partida'!B:B,'Pontos de Partida'!A:A)</f>
        <v>2</v>
      </c>
    </row>
    <row r="351" spans="1:6" x14ac:dyDescent="0.3">
      <c r="A351" s="14">
        <f t="shared" si="4"/>
        <v>21</v>
      </c>
      <c r="B351" s="15" t="s">
        <v>193</v>
      </c>
      <c r="C351" s="14">
        <f>_xlfn.XLOOKUP(B351,'Produtos &amp; Marcas'!B:B,'Produtos &amp; Marcas'!A:A)</f>
        <v>34</v>
      </c>
      <c r="D351" s="14">
        <v>0.2</v>
      </c>
      <c r="E351" s="15" t="s">
        <v>101</v>
      </c>
      <c r="F351" s="14">
        <f>_xlfn.XLOOKUP(E351,'Pontos de Partida'!B:B,'Pontos de Partida'!A:A)</f>
        <v>2</v>
      </c>
    </row>
    <row r="352" spans="1:6" x14ac:dyDescent="0.3">
      <c r="A352" s="14">
        <f t="shared" si="4"/>
        <v>21</v>
      </c>
      <c r="B352" s="15" t="s">
        <v>190</v>
      </c>
      <c r="C352" s="14">
        <f>_xlfn.XLOOKUP(B352,'Produtos &amp; Marcas'!B:B,'Produtos &amp; Marcas'!A:A)</f>
        <v>19</v>
      </c>
      <c r="D352" s="14">
        <v>1</v>
      </c>
      <c r="E352" s="15" t="s">
        <v>101</v>
      </c>
      <c r="F352" s="14">
        <f>_xlfn.XLOOKUP(E352,'Pontos de Partida'!B:B,'Pontos de Partida'!A:A)</f>
        <v>2</v>
      </c>
    </row>
    <row r="353" spans="1:6" x14ac:dyDescent="0.3">
      <c r="A353" s="14">
        <f t="shared" si="4"/>
        <v>21</v>
      </c>
      <c r="B353" s="15" t="s">
        <v>200</v>
      </c>
      <c r="C353" s="14">
        <f>_xlfn.XLOOKUP(B353,'Produtos &amp; Marcas'!B:B,'Produtos &amp; Marcas'!A:A)</f>
        <v>27</v>
      </c>
      <c r="D353" s="14">
        <v>2</v>
      </c>
      <c r="E353" s="15" t="s">
        <v>101</v>
      </c>
      <c r="F353" s="14">
        <f>_xlfn.XLOOKUP(E353,'Pontos de Partida'!B:B,'Pontos de Partida'!A:A)</f>
        <v>2</v>
      </c>
    </row>
    <row r="354" spans="1:6" x14ac:dyDescent="0.3">
      <c r="A354" s="14">
        <f t="shared" si="4"/>
        <v>22</v>
      </c>
      <c r="B354" s="15" t="s">
        <v>148</v>
      </c>
      <c r="C354" s="14">
        <f>_xlfn.XLOOKUP(B354,'Produtos &amp; Marcas'!B:B,'Produtos &amp; Marcas'!A:A)</f>
        <v>14</v>
      </c>
      <c r="D354" s="14">
        <v>1</v>
      </c>
      <c r="E354" s="15" t="s">
        <v>101</v>
      </c>
      <c r="F354" s="14">
        <f>_xlfn.XLOOKUP(E354,'Pontos de Partida'!B:B,'Pontos de Partida'!A:A)</f>
        <v>2</v>
      </c>
    </row>
    <row r="355" spans="1:6" x14ac:dyDescent="0.3">
      <c r="A355" s="14">
        <f t="shared" si="4"/>
        <v>22</v>
      </c>
      <c r="B355" s="15" t="s">
        <v>199</v>
      </c>
      <c r="C355" s="14">
        <f>_xlfn.XLOOKUP(B355,'Produtos &amp; Marcas'!B:B,'Produtos &amp; Marcas'!A:A)</f>
        <v>23</v>
      </c>
      <c r="D355" s="14">
        <v>3</v>
      </c>
      <c r="E355" s="15" t="s">
        <v>101</v>
      </c>
      <c r="F355" s="14">
        <f>_xlfn.XLOOKUP(E355,'Pontos de Partida'!B:B,'Pontos de Partida'!A:A)</f>
        <v>2</v>
      </c>
    </row>
    <row r="356" spans="1:6" x14ac:dyDescent="0.3">
      <c r="A356" s="14">
        <f t="shared" si="4"/>
        <v>22</v>
      </c>
      <c r="B356" s="15" t="s">
        <v>207</v>
      </c>
      <c r="C356" s="14">
        <f>_xlfn.XLOOKUP(B356,'Produtos &amp; Marcas'!B:B,'Produtos &amp; Marcas'!A:A)</f>
        <v>36</v>
      </c>
      <c r="D356" s="14">
        <v>0.2</v>
      </c>
      <c r="E356" s="15" t="s">
        <v>101</v>
      </c>
      <c r="F356" s="14">
        <f>_xlfn.XLOOKUP(E356,'Pontos de Partida'!B:B,'Pontos de Partida'!A:A)</f>
        <v>2</v>
      </c>
    </row>
    <row r="357" spans="1:6" x14ac:dyDescent="0.3">
      <c r="A357" s="14">
        <f t="shared" si="4"/>
        <v>22</v>
      </c>
      <c r="B357" s="15" t="s">
        <v>159</v>
      </c>
      <c r="C357" s="14">
        <f>_xlfn.XLOOKUP(B357,'Produtos &amp; Marcas'!B:B,'Produtos &amp; Marcas'!A:A)</f>
        <v>17</v>
      </c>
      <c r="D357" s="14">
        <v>1.5</v>
      </c>
      <c r="E357" s="15" t="s">
        <v>101</v>
      </c>
      <c r="F357" s="14">
        <f>_xlfn.XLOOKUP(E357,'Pontos de Partida'!B:B,'Pontos de Partida'!A:A)</f>
        <v>2</v>
      </c>
    </row>
    <row r="358" spans="1:6" x14ac:dyDescent="0.3">
      <c r="A358" s="14">
        <f t="shared" si="4"/>
        <v>22</v>
      </c>
      <c r="B358" s="15" t="s">
        <v>189</v>
      </c>
      <c r="C358" s="14">
        <f>_xlfn.XLOOKUP(B358,'Produtos &amp; Marcas'!B:B,'Produtos &amp; Marcas'!A:A)</f>
        <v>8</v>
      </c>
      <c r="D358" s="14">
        <v>0.4</v>
      </c>
      <c r="E358" s="15" t="s">
        <v>101</v>
      </c>
      <c r="F358" s="14">
        <f>_xlfn.XLOOKUP(E358,'Pontos de Partida'!B:B,'Pontos de Partida'!A:A)</f>
        <v>2</v>
      </c>
    </row>
    <row r="359" spans="1:6" x14ac:dyDescent="0.3">
      <c r="A359" s="14">
        <f t="shared" si="4"/>
        <v>22</v>
      </c>
      <c r="B359" s="15" t="s">
        <v>197</v>
      </c>
      <c r="C359" s="14">
        <f>_xlfn.XLOOKUP(B359,'Produtos &amp; Marcas'!B:B,'Produtos &amp; Marcas'!A:A)</f>
        <v>29</v>
      </c>
      <c r="D359" s="14">
        <v>1</v>
      </c>
      <c r="E359" s="15" t="s">
        <v>101</v>
      </c>
      <c r="F359" s="14">
        <f>_xlfn.XLOOKUP(E359,'Pontos de Partida'!B:B,'Pontos de Partida'!A:A)</f>
        <v>2</v>
      </c>
    </row>
    <row r="360" spans="1:6" x14ac:dyDescent="0.3">
      <c r="A360" s="14">
        <f t="shared" si="4"/>
        <v>22</v>
      </c>
      <c r="B360" s="15" t="s">
        <v>200</v>
      </c>
      <c r="C360" s="14">
        <f>_xlfn.XLOOKUP(B360,'Produtos &amp; Marcas'!B:B,'Produtos &amp; Marcas'!A:A)</f>
        <v>27</v>
      </c>
      <c r="D360" s="14">
        <v>2</v>
      </c>
      <c r="E360" s="15" t="s">
        <v>101</v>
      </c>
      <c r="F360" s="14">
        <f>_xlfn.XLOOKUP(E360,'Pontos de Partida'!B:B,'Pontos de Partida'!A:A)</f>
        <v>2</v>
      </c>
    </row>
    <row r="361" spans="1:6" x14ac:dyDescent="0.3">
      <c r="A361" s="14">
        <f t="shared" si="4"/>
        <v>22</v>
      </c>
      <c r="B361" s="15" t="s">
        <v>158</v>
      </c>
      <c r="C361" s="14">
        <f>_xlfn.XLOOKUP(B361,'Produtos &amp; Marcas'!B:B,'Produtos &amp; Marcas'!A:A)</f>
        <v>2</v>
      </c>
      <c r="D361" s="14">
        <v>2</v>
      </c>
      <c r="E361" s="15" t="s">
        <v>101</v>
      </c>
      <c r="F361" s="14">
        <f>_xlfn.XLOOKUP(E361,'Pontos de Partida'!B:B,'Pontos de Partida'!A:A)</f>
        <v>2</v>
      </c>
    </row>
    <row r="362" spans="1:6" x14ac:dyDescent="0.3">
      <c r="A362" s="14">
        <f t="shared" si="4"/>
        <v>23</v>
      </c>
      <c r="B362" s="15" t="s">
        <v>198</v>
      </c>
      <c r="C362" s="14">
        <f>_xlfn.XLOOKUP(B362,'Produtos &amp; Marcas'!B:B,'Produtos &amp; Marcas'!A:A)</f>
        <v>6</v>
      </c>
      <c r="D362" s="14">
        <v>3</v>
      </c>
      <c r="E362" s="16" t="s">
        <v>209</v>
      </c>
      <c r="F362" s="14">
        <f>_xlfn.XLOOKUP(E362,'Pontos de Partida'!B:B,'Pontos de Partida'!A:A)</f>
        <v>3</v>
      </c>
    </row>
    <row r="363" spans="1:6" x14ac:dyDescent="0.3">
      <c r="A363" s="14">
        <f t="shared" si="4"/>
        <v>23</v>
      </c>
      <c r="B363" s="15" t="s">
        <v>155</v>
      </c>
      <c r="C363" s="14">
        <f>_xlfn.XLOOKUP(B363,'Produtos &amp; Marcas'!B:B,'Produtos &amp; Marcas'!A:A)</f>
        <v>3</v>
      </c>
      <c r="D363" s="14">
        <v>2</v>
      </c>
      <c r="E363" s="16" t="s">
        <v>209</v>
      </c>
      <c r="F363" s="14">
        <f>_xlfn.XLOOKUP(E363,'Pontos de Partida'!B:B,'Pontos de Partida'!A:A)</f>
        <v>3</v>
      </c>
    </row>
    <row r="364" spans="1:6" x14ac:dyDescent="0.3">
      <c r="A364" s="14">
        <f t="shared" si="4"/>
        <v>23</v>
      </c>
      <c r="B364" s="15" t="s">
        <v>152</v>
      </c>
      <c r="C364" s="14">
        <f>_xlfn.XLOOKUP(B364,'Produtos &amp; Marcas'!B:B,'Produtos &amp; Marcas'!A:A)</f>
        <v>9</v>
      </c>
      <c r="D364" s="14">
        <v>0.4</v>
      </c>
      <c r="E364" s="16" t="s">
        <v>209</v>
      </c>
      <c r="F364" s="14">
        <f>_xlfn.XLOOKUP(E364,'Pontos de Partida'!B:B,'Pontos de Partida'!A:A)</f>
        <v>3</v>
      </c>
    </row>
    <row r="365" spans="1:6" x14ac:dyDescent="0.3">
      <c r="A365" s="14">
        <f t="shared" si="4"/>
        <v>23</v>
      </c>
      <c r="B365" s="15" t="s">
        <v>156</v>
      </c>
      <c r="C365" s="14">
        <f>_xlfn.XLOOKUP(B365,'Produtos &amp; Marcas'!B:B,'Produtos &amp; Marcas'!A:A)</f>
        <v>12</v>
      </c>
      <c r="D365" s="14">
        <v>0.8</v>
      </c>
      <c r="E365" s="16" t="s">
        <v>209</v>
      </c>
      <c r="F365" s="14">
        <f>_xlfn.XLOOKUP(E365,'Pontos de Partida'!B:B,'Pontos de Partida'!A:A)</f>
        <v>3</v>
      </c>
    </row>
    <row r="366" spans="1:6" x14ac:dyDescent="0.3">
      <c r="A366" s="14">
        <f t="shared" si="4"/>
        <v>23</v>
      </c>
      <c r="B366" s="15" t="s">
        <v>153</v>
      </c>
      <c r="C366" s="14">
        <f>_xlfn.XLOOKUP(B366,'Produtos &amp; Marcas'!B:B,'Produtos &amp; Marcas'!A:A)</f>
        <v>13</v>
      </c>
      <c r="D366" s="14">
        <v>1</v>
      </c>
      <c r="E366" s="16" t="s">
        <v>209</v>
      </c>
      <c r="F366" s="14">
        <f>_xlfn.XLOOKUP(E366,'Pontos de Partida'!B:B,'Pontos de Partida'!A:A)</f>
        <v>3</v>
      </c>
    </row>
    <row r="367" spans="1:6" x14ac:dyDescent="0.3">
      <c r="A367" s="14">
        <f t="shared" si="4"/>
        <v>23</v>
      </c>
      <c r="B367" s="15" t="s">
        <v>157</v>
      </c>
      <c r="C367" s="14">
        <f>_xlfn.XLOOKUP(B367,'Produtos &amp; Marcas'!B:B,'Produtos &amp; Marcas'!A:A)</f>
        <v>16</v>
      </c>
      <c r="D367" s="14">
        <v>1.5</v>
      </c>
      <c r="E367" s="16" t="s">
        <v>209</v>
      </c>
      <c r="F367" s="14">
        <f>_xlfn.XLOOKUP(E367,'Pontos de Partida'!B:B,'Pontos de Partida'!A:A)</f>
        <v>3</v>
      </c>
    </row>
    <row r="368" spans="1:6" x14ac:dyDescent="0.3">
      <c r="A368" s="14">
        <f t="shared" si="4"/>
        <v>23</v>
      </c>
      <c r="B368" s="15" t="s">
        <v>190</v>
      </c>
      <c r="C368" s="14">
        <f>_xlfn.XLOOKUP(B368,'Produtos &amp; Marcas'!B:B,'Produtos &amp; Marcas'!A:A)</f>
        <v>19</v>
      </c>
      <c r="D368" s="14">
        <v>1</v>
      </c>
      <c r="E368" s="16" t="s">
        <v>209</v>
      </c>
      <c r="F368" s="14">
        <f>_xlfn.XLOOKUP(E368,'Pontos de Partida'!B:B,'Pontos de Partida'!A:A)</f>
        <v>3</v>
      </c>
    </row>
    <row r="369" spans="1:6" x14ac:dyDescent="0.3">
      <c r="A369" s="14">
        <f t="shared" si="4"/>
        <v>23</v>
      </c>
      <c r="B369" s="15" t="s">
        <v>199</v>
      </c>
      <c r="C369" s="14">
        <f>_xlfn.XLOOKUP(B369,'Produtos &amp; Marcas'!B:B,'Produtos &amp; Marcas'!A:A)</f>
        <v>23</v>
      </c>
      <c r="D369" s="14">
        <v>3</v>
      </c>
      <c r="E369" s="16" t="s">
        <v>209</v>
      </c>
      <c r="F369" s="14">
        <f>_xlfn.XLOOKUP(E369,'Pontos de Partida'!B:B,'Pontos de Partida'!A:A)</f>
        <v>3</v>
      </c>
    </row>
    <row r="370" spans="1:6" x14ac:dyDescent="0.3">
      <c r="A370" s="14">
        <f t="shared" si="4"/>
        <v>23</v>
      </c>
      <c r="B370" s="15" t="s">
        <v>200</v>
      </c>
      <c r="C370" s="14">
        <f>_xlfn.XLOOKUP(B370,'Produtos &amp; Marcas'!B:B,'Produtos &amp; Marcas'!A:A)</f>
        <v>27</v>
      </c>
      <c r="D370" s="14">
        <v>2</v>
      </c>
      <c r="E370" s="16" t="s">
        <v>209</v>
      </c>
      <c r="F370" s="14">
        <f>_xlfn.XLOOKUP(E370,'Pontos de Partida'!B:B,'Pontos de Partida'!A:A)</f>
        <v>3</v>
      </c>
    </row>
    <row r="371" spans="1:6" x14ac:dyDescent="0.3">
      <c r="A371" s="14">
        <f t="shared" si="4"/>
        <v>23</v>
      </c>
      <c r="B371" s="15" t="s">
        <v>192</v>
      </c>
      <c r="C371" s="14">
        <f>_xlfn.XLOOKUP(B371,'Produtos &amp; Marcas'!B:B,'Produtos &amp; Marcas'!A:A)</f>
        <v>28</v>
      </c>
      <c r="D371" s="14">
        <v>1</v>
      </c>
      <c r="E371" s="16" t="s">
        <v>209</v>
      </c>
      <c r="F371" s="14">
        <f>_xlfn.XLOOKUP(E371,'Pontos de Partida'!B:B,'Pontos de Partida'!A:A)</f>
        <v>3</v>
      </c>
    </row>
    <row r="372" spans="1:6" x14ac:dyDescent="0.3">
      <c r="A372" s="14">
        <f t="shared" si="4"/>
        <v>23</v>
      </c>
      <c r="B372" s="15" t="s">
        <v>193</v>
      </c>
      <c r="C372" s="14">
        <f>_xlfn.XLOOKUP(B372,'Produtos &amp; Marcas'!B:B,'Produtos &amp; Marcas'!A:A)</f>
        <v>34</v>
      </c>
      <c r="D372" s="14">
        <v>0.2</v>
      </c>
      <c r="E372" s="16" t="s">
        <v>209</v>
      </c>
      <c r="F372" s="14">
        <f>_xlfn.XLOOKUP(E372,'Pontos de Partida'!B:B,'Pontos de Partida'!A:A)</f>
        <v>3</v>
      </c>
    </row>
    <row r="373" spans="1:6" x14ac:dyDescent="0.3">
      <c r="A373" s="14">
        <f t="shared" si="4"/>
        <v>23</v>
      </c>
      <c r="B373" s="15" t="s">
        <v>150</v>
      </c>
      <c r="C373" s="14">
        <f>_xlfn.XLOOKUP(B373,'Produtos &amp; Marcas'!B:B,'Produtos &amp; Marcas'!A:A)</f>
        <v>37</v>
      </c>
      <c r="D373" s="14">
        <v>0.5</v>
      </c>
      <c r="E373" s="16" t="s">
        <v>209</v>
      </c>
      <c r="F373" s="14">
        <f>_xlfn.XLOOKUP(E373,'Pontos de Partida'!B:B,'Pontos de Partida'!A:A)</f>
        <v>3</v>
      </c>
    </row>
    <row r="374" spans="1:6" x14ac:dyDescent="0.3">
      <c r="A374" s="14">
        <f t="shared" si="4"/>
        <v>23</v>
      </c>
      <c r="B374" s="15" t="s">
        <v>194</v>
      </c>
      <c r="C374" s="14">
        <f>_xlfn.XLOOKUP(B374,'Produtos &amp; Marcas'!B:B,'Produtos &amp; Marcas'!A:A)</f>
        <v>32</v>
      </c>
      <c r="D374" s="14">
        <v>1</v>
      </c>
      <c r="E374" s="16" t="s">
        <v>209</v>
      </c>
      <c r="F374" s="14">
        <f>_xlfn.XLOOKUP(E374,'Pontos de Partida'!B:B,'Pontos de Partida'!A:A)</f>
        <v>3</v>
      </c>
    </row>
    <row r="375" spans="1:6" x14ac:dyDescent="0.3">
      <c r="A375" s="14">
        <f t="shared" si="4"/>
        <v>24</v>
      </c>
      <c r="B375" s="15" t="s">
        <v>146</v>
      </c>
      <c r="C375" s="14">
        <f>_xlfn.XLOOKUP(B375,'Produtos &amp; Marcas'!B:B,'Produtos &amp; Marcas'!A:A)</f>
        <v>4</v>
      </c>
      <c r="D375" s="14">
        <v>3</v>
      </c>
      <c r="E375" s="16" t="s">
        <v>209</v>
      </c>
      <c r="F375" s="14">
        <f>_xlfn.XLOOKUP(E375,'Pontos de Partida'!B:B,'Pontos de Partida'!A:A)</f>
        <v>3</v>
      </c>
    </row>
    <row r="376" spans="1:6" x14ac:dyDescent="0.3">
      <c r="A376" s="14">
        <f t="shared" si="4"/>
        <v>24</v>
      </c>
      <c r="B376" s="15" t="s">
        <v>158</v>
      </c>
      <c r="C376" s="14">
        <f>_xlfn.XLOOKUP(B376,'Produtos &amp; Marcas'!B:B,'Produtos &amp; Marcas'!A:A)</f>
        <v>2</v>
      </c>
      <c r="D376" s="14">
        <v>2</v>
      </c>
      <c r="E376" s="16" t="s">
        <v>209</v>
      </c>
      <c r="F376" s="14">
        <f>_xlfn.XLOOKUP(E376,'Pontos de Partida'!B:B,'Pontos de Partida'!A:A)</f>
        <v>3</v>
      </c>
    </row>
    <row r="377" spans="1:6" x14ac:dyDescent="0.3">
      <c r="A377" s="14">
        <f t="shared" si="4"/>
        <v>24</v>
      </c>
      <c r="B377" s="15" t="s">
        <v>189</v>
      </c>
      <c r="C377" s="14">
        <f>_xlfn.XLOOKUP(B377,'Produtos &amp; Marcas'!B:B,'Produtos &amp; Marcas'!A:A)</f>
        <v>8</v>
      </c>
      <c r="D377" s="14">
        <v>0.4</v>
      </c>
      <c r="E377" s="16" t="s">
        <v>209</v>
      </c>
      <c r="F377" s="14">
        <f>_xlfn.XLOOKUP(E377,'Pontos de Partida'!B:B,'Pontos de Partida'!A:A)</f>
        <v>3</v>
      </c>
    </row>
    <row r="378" spans="1:6" x14ac:dyDescent="0.3">
      <c r="A378" s="14">
        <f t="shared" si="4"/>
        <v>24</v>
      </c>
      <c r="B378" s="15" t="s">
        <v>147</v>
      </c>
      <c r="C378" s="14">
        <f>_xlfn.XLOOKUP(B378,'Produtos &amp; Marcas'!B:B,'Produtos &amp; Marcas'!A:A)</f>
        <v>11</v>
      </c>
      <c r="D378" s="14">
        <v>0.8</v>
      </c>
      <c r="E378" s="16" t="s">
        <v>209</v>
      </c>
      <c r="F378" s="14">
        <f>_xlfn.XLOOKUP(E378,'Pontos de Partida'!B:B,'Pontos de Partida'!A:A)</f>
        <v>3</v>
      </c>
    </row>
    <row r="379" spans="1:6" x14ac:dyDescent="0.3">
      <c r="A379" s="14">
        <f t="shared" si="4"/>
        <v>24</v>
      </c>
      <c r="B379" s="15" t="s">
        <v>201</v>
      </c>
      <c r="C379" s="14">
        <f>_xlfn.XLOOKUP(B379,'Produtos &amp; Marcas'!B:B,'Produtos &amp; Marcas'!A:A)</f>
        <v>15</v>
      </c>
      <c r="D379" s="14">
        <v>1</v>
      </c>
      <c r="E379" s="16" t="s">
        <v>209</v>
      </c>
      <c r="F379" s="14">
        <f>_xlfn.XLOOKUP(E379,'Pontos de Partida'!B:B,'Pontos de Partida'!A:A)</f>
        <v>3</v>
      </c>
    </row>
    <row r="380" spans="1:6" x14ac:dyDescent="0.3">
      <c r="A380" s="14">
        <f t="shared" si="4"/>
        <v>24</v>
      </c>
      <c r="B380" s="15" t="s">
        <v>159</v>
      </c>
      <c r="C380" s="14">
        <f>_xlfn.XLOOKUP(B380,'Produtos &amp; Marcas'!B:B,'Produtos &amp; Marcas'!A:A)</f>
        <v>17</v>
      </c>
      <c r="D380" s="14">
        <v>1.5</v>
      </c>
      <c r="E380" s="16" t="s">
        <v>209</v>
      </c>
      <c r="F380" s="14">
        <f>_xlfn.XLOOKUP(E380,'Pontos de Partida'!B:B,'Pontos de Partida'!A:A)</f>
        <v>3</v>
      </c>
    </row>
    <row r="381" spans="1:6" x14ac:dyDescent="0.3">
      <c r="A381" s="14">
        <f t="shared" si="4"/>
        <v>24</v>
      </c>
      <c r="B381" s="15" t="s">
        <v>202</v>
      </c>
      <c r="C381" s="14">
        <f>_xlfn.XLOOKUP(B381,'Produtos &amp; Marcas'!B:B,'Produtos &amp; Marcas'!A:A)</f>
        <v>20</v>
      </c>
      <c r="D381" s="14">
        <v>1</v>
      </c>
      <c r="E381" s="16" t="s">
        <v>209</v>
      </c>
      <c r="F381" s="14">
        <f>_xlfn.XLOOKUP(E381,'Pontos de Partida'!B:B,'Pontos de Partida'!A:A)</f>
        <v>3</v>
      </c>
    </row>
    <row r="382" spans="1:6" x14ac:dyDescent="0.3">
      <c r="A382" s="14">
        <f t="shared" si="4"/>
        <v>24</v>
      </c>
      <c r="B382" s="15" t="s">
        <v>154</v>
      </c>
      <c r="C382" s="14">
        <f>_xlfn.XLOOKUP(B382,'Produtos &amp; Marcas'!B:B,'Produtos &amp; Marcas'!A:A)</f>
        <v>22</v>
      </c>
      <c r="D382" s="14">
        <v>3</v>
      </c>
      <c r="E382" s="16" t="s">
        <v>209</v>
      </c>
      <c r="F382" s="14">
        <f>_xlfn.XLOOKUP(E382,'Pontos de Partida'!B:B,'Pontos de Partida'!A:A)</f>
        <v>3</v>
      </c>
    </row>
    <row r="383" spans="1:6" x14ac:dyDescent="0.3">
      <c r="A383" s="14">
        <f t="shared" si="4"/>
        <v>24</v>
      </c>
      <c r="B383" s="15" t="s">
        <v>160</v>
      </c>
      <c r="C383" s="14">
        <f>_xlfn.XLOOKUP(B383,'Produtos &amp; Marcas'!B:B,'Produtos &amp; Marcas'!A:A)</f>
        <v>25</v>
      </c>
      <c r="D383" s="14">
        <v>2</v>
      </c>
      <c r="E383" s="16" t="s">
        <v>209</v>
      </c>
      <c r="F383" s="14">
        <f>_xlfn.XLOOKUP(E383,'Pontos de Partida'!B:B,'Pontos de Partida'!A:A)</f>
        <v>3</v>
      </c>
    </row>
    <row r="384" spans="1:6" x14ac:dyDescent="0.3">
      <c r="A384" s="14">
        <f t="shared" si="4"/>
        <v>24</v>
      </c>
      <c r="B384" s="15" t="s">
        <v>203</v>
      </c>
      <c r="C384" s="14">
        <f>_xlfn.XLOOKUP(B384,'Produtos &amp; Marcas'!B:B,'Produtos &amp; Marcas'!A:A)</f>
        <v>30</v>
      </c>
      <c r="D384" s="14">
        <v>1</v>
      </c>
      <c r="E384" s="16" t="s">
        <v>209</v>
      </c>
      <c r="F384" s="14">
        <f>_xlfn.XLOOKUP(E384,'Pontos de Partida'!B:B,'Pontos de Partida'!A:A)</f>
        <v>3</v>
      </c>
    </row>
    <row r="385" spans="1:6" x14ac:dyDescent="0.3">
      <c r="A385" s="14">
        <f t="shared" si="4"/>
        <v>24</v>
      </c>
      <c r="B385" s="15" t="s">
        <v>204</v>
      </c>
      <c r="C385" s="14">
        <f>_xlfn.XLOOKUP(B385,'Produtos &amp; Marcas'!B:B,'Produtos &amp; Marcas'!A:A)</f>
        <v>35</v>
      </c>
      <c r="D385" s="14">
        <v>0.2</v>
      </c>
      <c r="E385" s="16" t="s">
        <v>209</v>
      </c>
      <c r="F385" s="14">
        <f>_xlfn.XLOOKUP(E385,'Pontos de Partida'!B:B,'Pontos de Partida'!A:A)</f>
        <v>3</v>
      </c>
    </row>
    <row r="386" spans="1:6" x14ac:dyDescent="0.3">
      <c r="A386" s="14">
        <f t="shared" si="4"/>
        <v>24</v>
      </c>
      <c r="B386" s="15" t="s">
        <v>161</v>
      </c>
      <c r="C386" s="14">
        <f>_xlfn.XLOOKUP(B386,'Produtos &amp; Marcas'!B:B,'Produtos &amp; Marcas'!A:A)</f>
        <v>38</v>
      </c>
      <c r="D386" s="14">
        <v>0.5</v>
      </c>
      <c r="E386" s="16" t="s">
        <v>209</v>
      </c>
      <c r="F386" s="14">
        <f>_xlfn.XLOOKUP(E386,'Pontos de Partida'!B:B,'Pontos de Partida'!A:A)</f>
        <v>3</v>
      </c>
    </row>
    <row r="387" spans="1:6" x14ac:dyDescent="0.3">
      <c r="A387" s="14">
        <f t="shared" si="4"/>
        <v>24</v>
      </c>
      <c r="B387" s="15" t="s">
        <v>205</v>
      </c>
      <c r="C387" s="14">
        <f>_xlfn.XLOOKUP(B387,'Produtos &amp; Marcas'!B:B,'Produtos &amp; Marcas'!A:A)</f>
        <v>31</v>
      </c>
      <c r="D387" s="14">
        <v>1</v>
      </c>
      <c r="E387" s="16" t="s">
        <v>209</v>
      </c>
      <c r="F387" s="14">
        <f>_xlfn.XLOOKUP(E387,'Pontos de Partida'!B:B,'Pontos de Partida'!A:A)</f>
        <v>3</v>
      </c>
    </row>
    <row r="388" spans="1:6" x14ac:dyDescent="0.3">
      <c r="A388" s="14">
        <f t="shared" si="4"/>
        <v>25</v>
      </c>
      <c r="B388" s="15" t="s">
        <v>151</v>
      </c>
      <c r="C388" s="14">
        <f>_xlfn.XLOOKUP(B388,'Produtos &amp; Marcas'!B:B,'Produtos &amp; Marcas'!A:A)</f>
        <v>5</v>
      </c>
      <c r="D388" s="14">
        <v>3</v>
      </c>
      <c r="E388" s="16" t="s">
        <v>209</v>
      </c>
      <c r="F388" s="14">
        <f>_xlfn.XLOOKUP(E388,'Pontos de Partida'!B:B,'Pontos de Partida'!A:A)</f>
        <v>3</v>
      </c>
    </row>
    <row r="389" spans="1:6" x14ac:dyDescent="0.3">
      <c r="A389" s="14">
        <f t="shared" si="4"/>
        <v>25</v>
      </c>
      <c r="B389" s="15" t="s">
        <v>162</v>
      </c>
      <c r="C389" s="14">
        <f>_xlfn.XLOOKUP(B389,'Produtos &amp; Marcas'!B:B,'Produtos &amp; Marcas'!A:A)</f>
        <v>1</v>
      </c>
      <c r="D389" s="14">
        <v>2</v>
      </c>
      <c r="E389" s="16" t="s">
        <v>209</v>
      </c>
      <c r="F389" s="14">
        <f>_xlfn.XLOOKUP(E389,'Pontos de Partida'!B:B,'Pontos de Partida'!A:A)</f>
        <v>3</v>
      </c>
    </row>
    <row r="390" spans="1:6" x14ac:dyDescent="0.3">
      <c r="A390" s="14">
        <f t="shared" si="4"/>
        <v>25</v>
      </c>
      <c r="B390" s="15" t="s">
        <v>152</v>
      </c>
      <c r="C390" s="14">
        <f>_xlfn.XLOOKUP(B390,'Produtos &amp; Marcas'!B:B,'Produtos &amp; Marcas'!A:A)</f>
        <v>9</v>
      </c>
      <c r="D390" s="14">
        <v>0.4</v>
      </c>
      <c r="E390" s="16" t="s">
        <v>209</v>
      </c>
      <c r="F390" s="14">
        <f>_xlfn.XLOOKUP(E390,'Pontos de Partida'!B:B,'Pontos de Partida'!A:A)</f>
        <v>3</v>
      </c>
    </row>
    <row r="391" spans="1:6" x14ac:dyDescent="0.3">
      <c r="A391" s="14">
        <f t="shared" si="4"/>
        <v>25</v>
      </c>
      <c r="B391" s="15" t="s">
        <v>147</v>
      </c>
      <c r="C391" s="14">
        <f>_xlfn.XLOOKUP(B391,'Produtos &amp; Marcas'!B:B,'Produtos &amp; Marcas'!A:A)</f>
        <v>11</v>
      </c>
      <c r="D391" s="14">
        <v>0.8</v>
      </c>
      <c r="E391" s="16" t="s">
        <v>209</v>
      </c>
      <c r="F391" s="14">
        <f>_xlfn.XLOOKUP(E391,'Pontos de Partida'!B:B,'Pontos de Partida'!A:A)</f>
        <v>3</v>
      </c>
    </row>
    <row r="392" spans="1:6" x14ac:dyDescent="0.3">
      <c r="A392" s="14">
        <f t="shared" si="4"/>
        <v>25</v>
      </c>
      <c r="B392" s="15" t="s">
        <v>148</v>
      </c>
      <c r="C392" s="14">
        <f>_xlfn.XLOOKUP(B392,'Produtos &amp; Marcas'!B:B,'Produtos &amp; Marcas'!A:A)</f>
        <v>14</v>
      </c>
      <c r="D392" s="14">
        <v>1</v>
      </c>
      <c r="E392" s="16" t="s">
        <v>209</v>
      </c>
      <c r="F392" s="14">
        <f>_xlfn.XLOOKUP(E392,'Pontos de Partida'!B:B,'Pontos de Partida'!A:A)</f>
        <v>3</v>
      </c>
    </row>
    <row r="393" spans="1:6" x14ac:dyDescent="0.3">
      <c r="A393" s="14">
        <f t="shared" si="4"/>
        <v>25</v>
      </c>
      <c r="B393" s="15" t="s">
        <v>206</v>
      </c>
      <c r="C393" s="14">
        <f>_xlfn.XLOOKUP(B393,'Produtos &amp; Marcas'!B:B,'Produtos &amp; Marcas'!A:A)</f>
        <v>18</v>
      </c>
      <c r="D393" s="14">
        <v>1.5</v>
      </c>
      <c r="E393" s="16" t="s">
        <v>209</v>
      </c>
      <c r="F393" s="14">
        <f>_xlfn.XLOOKUP(E393,'Pontos de Partida'!B:B,'Pontos de Partida'!A:A)</f>
        <v>3</v>
      </c>
    </row>
    <row r="394" spans="1:6" x14ac:dyDescent="0.3">
      <c r="A394" s="14">
        <f t="shared" si="4"/>
        <v>25</v>
      </c>
      <c r="B394" s="15" t="s">
        <v>195</v>
      </c>
      <c r="C394" s="14">
        <f>_xlfn.XLOOKUP(B394,'Produtos &amp; Marcas'!B:B,'Produtos &amp; Marcas'!A:A)</f>
        <v>21</v>
      </c>
      <c r="D394" s="14">
        <v>1</v>
      </c>
      <c r="E394" s="16" t="s">
        <v>209</v>
      </c>
      <c r="F394" s="14">
        <f>_xlfn.XLOOKUP(E394,'Pontos de Partida'!B:B,'Pontos de Partida'!A:A)</f>
        <v>3</v>
      </c>
    </row>
    <row r="395" spans="1:6" x14ac:dyDescent="0.3">
      <c r="A395" s="14">
        <f t="shared" si="4"/>
        <v>25</v>
      </c>
      <c r="B395" s="15" t="s">
        <v>199</v>
      </c>
      <c r="C395" s="14">
        <f>_xlfn.XLOOKUP(B395,'Produtos &amp; Marcas'!B:B,'Produtos &amp; Marcas'!A:A)</f>
        <v>23</v>
      </c>
      <c r="D395" s="14">
        <v>3</v>
      </c>
      <c r="E395" s="16" t="s">
        <v>209</v>
      </c>
      <c r="F395" s="14">
        <f>_xlfn.XLOOKUP(E395,'Pontos de Partida'!B:B,'Pontos de Partida'!A:A)</f>
        <v>3</v>
      </c>
    </row>
    <row r="396" spans="1:6" x14ac:dyDescent="0.3">
      <c r="A396" s="14">
        <f t="shared" si="4"/>
        <v>25</v>
      </c>
      <c r="B396" s="15" t="s">
        <v>200</v>
      </c>
      <c r="C396" s="14">
        <f>_xlfn.XLOOKUP(B396,'Produtos &amp; Marcas'!B:B,'Produtos &amp; Marcas'!A:A)</f>
        <v>27</v>
      </c>
      <c r="D396" s="14">
        <v>2</v>
      </c>
      <c r="E396" s="16" t="s">
        <v>209</v>
      </c>
      <c r="F396" s="14">
        <f>_xlfn.XLOOKUP(E396,'Pontos de Partida'!B:B,'Pontos de Partida'!A:A)</f>
        <v>3</v>
      </c>
    </row>
    <row r="397" spans="1:6" x14ac:dyDescent="0.3">
      <c r="A397" s="14">
        <f t="shared" si="4"/>
        <v>25</v>
      </c>
      <c r="B397" s="15" t="s">
        <v>197</v>
      </c>
      <c r="C397" s="14">
        <f>_xlfn.XLOOKUP(B397,'Produtos &amp; Marcas'!B:B,'Produtos &amp; Marcas'!A:A)</f>
        <v>29</v>
      </c>
      <c r="D397" s="14">
        <v>1</v>
      </c>
      <c r="E397" s="16" t="s">
        <v>209</v>
      </c>
      <c r="F397" s="14">
        <f>_xlfn.XLOOKUP(E397,'Pontos de Partida'!B:B,'Pontos de Partida'!A:A)</f>
        <v>3</v>
      </c>
    </row>
    <row r="398" spans="1:6" x14ac:dyDescent="0.3">
      <c r="A398" s="14">
        <f t="shared" si="4"/>
        <v>25</v>
      </c>
      <c r="B398" s="15" t="s">
        <v>207</v>
      </c>
      <c r="C398" s="14">
        <f>_xlfn.XLOOKUP(B398,'Produtos &amp; Marcas'!B:B,'Produtos &amp; Marcas'!A:A)</f>
        <v>36</v>
      </c>
      <c r="D398" s="14">
        <v>0.2</v>
      </c>
      <c r="E398" s="16" t="s">
        <v>209</v>
      </c>
      <c r="F398" s="14">
        <f>_xlfn.XLOOKUP(E398,'Pontos de Partida'!B:B,'Pontos de Partida'!A:A)</f>
        <v>3</v>
      </c>
    </row>
    <row r="399" spans="1:6" x14ac:dyDescent="0.3">
      <c r="A399" s="14">
        <f t="shared" ref="A399:A462" si="5">A307+11</f>
        <v>25</v>
      </c>
      <c r="B399" s="15" t="s">
        <v>208</v>
      </c>
      <c r="C399" s="14">
        <f>_xlfn.XLOOKUP(B399,'Produtos &amp; Marcas'!B:B,'Produtos &amp; Marcas'!A:A)</f>
        <v>39</v>
      </c>
      <c r="D399" s="14">
        <v>0.5</v>
      </c>
      <c r="E399" s="16" t="s">
        <v>209</v>
      </c>
      <c r="F399" s="14">
        <f>_xlfn.XLOOKUP(E399,'Pontos de Partida'!B:B,'Pontos de Partida'!A:A)</f>
        <v>3</v>
      </c>
    </row>
    <row r="400" spans="1:6" x14ac:dyDescent="0.3">
      <c r="A400" s="14">
        <f t="shared" si="5"/>
        <v>25</v>
      </c>
      <c r="B400" s="15" t="s">
        <v>194</v>
      </c>
      <c r="C400" s="14">
        <f>_xlfn.XLOOKUP(B400,'Produtos &amp; Marcas'!B:B,'Produtos &amp; Marcas'!A:A)</f>
        <v>32</v>
      </c>
      <c r="D400" s="14">
        <v>1</v>
      </c>
      <c r="E400" s="16" t="s">
        <v>209</v>
      </c>
      <c r="F400" s="14">
        <f>_xlfn.XLOOKUP(E400,'Pontos de Partida'!B:B,'Pontos de Partida'!A:A)</f>
        <v>3</v>
      </c>
    </row>
    <row r="401" spans="1:6" x14ac:dyDescent="0.3">
      <c r="A401" s="14">
        <f t="shared" si="5"/>
        <v>26</v>
      </c>
      <c r="B401" s="15" t="s">
        <v>193</v>
      </c>
      <c r="C401" s="14">
        <f>_xlfn.XLOOKUP(B401,'Produtos &amp; Marcas'!B:B,'Produtos &amp; Marcas'!A:A)</f>
        <v>34</v>
      </c>
      <c r="D401" s="14">
        <v>0.2</v>
      </c>
      <c r="E401" s="16" t="s">
        <v>209</v>
      </c>
      <c r="F401" s="14">
        <f>_xlfn.XLOOKUP(E401,'Pontos de Partida'!B:B,'Pontos de Partida'!A:A)</f>
        <v>3</v>
      </c>
    </row>
    <row r="402" spans="1:6" x14ac:dyDescent="0.3">
      <c r="A402" s="14">
        <f t="shared" si="5"/>
        <v>26</v>
      </c>
      <c r="B402" s="15" t="s">
        <v>158</v>
      </c>
      <c r="C402" s="14">
        <f>_xlfn.XLOOKUP(B402,'Produtos &amp; Marcas'!B:B,'Produtos &amp; Marcas'!A:A)</f>
        <v>2</v>
      </c>
      <c r="D402" s="14">
        <v>2</v>
      </c>
      <c r="E402" s="16" t="s">
        <v>209</v>
      </c>
      <c r="F402" s="14">
        <f>_xlfn.XLOOKUP(E402,'Pontos de Partida'!B:B,'Pontos de Partida'!A:A)</f>
        <v>3</v>
      </c>
    </row>
    <row r="403" spans="1:6" x14ac:dyDescent="0.3">
      <c r="A403" s="14">
        <f t="shared" si="5"/>
        <v>26</v>
      </c>
      <c r="B403" s="15" t="s">
        <v>146</v>
      </c>
      <c r="C403" s="14">
        <f>_xlfn.XLOOKUP(B403,'Produtos &amp; Marcas'!B:B,'Produtos &amp; Marcas'!A:A)</f>
        <v>4</v>
      </c>
      <c r="D403" s="14">
        <v>3</v>
      </c>
      <c r="E403" s="16" t="s">
        <v>209</v>
      </c>
      <c r="F403" s="14">
        <f>_xlfn.XLOOKUP(E403,'Pontos de Partida'!B:B,'Pontos de Partida'!A:A)</f>
        <v>3</v>
      </c>
    </row>
    <row r="404" spans="1:6" x14ac:dyDescent="0.3">
      <c r="A404" s="14">
        <f t="shared" si="5"/>
        <v>27</v>
      </c>
      <c r="B404" s="15" t="s">
        <v>147</v>
      </c>
      <c r="C404" s="14">
        <f>_xlfn.XLOOKUP(B404,'Produtos &amp; Marcas'!B:B,'Produtos &amp; Marcas'!A:A)</f>
        <v>11</v>
      </c>
      <c r="D404" s="14">
        <v>0.8</v>
      </c>
      <c r="E404" s="16" t="s">
        <v>209</v>
      </c>
      <c r="F404" s="14">
        <f>_xlfn.XLOOKUP(E404,'Pontos de Partida'!B:B,'Pontos de Partida'!A:A)</f>
        <v>3</v>
      </c>
    </row>
    <row r="405" spans="1:6" x14ac:dyDescent="0.3">
      <c r="A405" s="14">
        <f t="shared" si="5"/>
        <v>27</v>
      </c>
      <c r="B405" s="15" t="s">
        <v>163</v>
      </c>
      <c r="C405" s="14">
        <f>_xlfn.XLOOKUP(B405,'Produtos &amp; Marcas'!B:B,'Produtos &amp; Marcas'!A:A)</f>
        <v>7</v>
      </c>
      <c r="D405" s="14">
        <v>0.4</v>
      </c>
      <c r="E405" s="16" t="s">
        <v>209</v>
      </c>
      <c r="F405" s="14">
        <f>_xlfn.XLOOKUP(E405,'Pontos de Partida'!B:B,'Pontos de Partida'!A:A)</f>
        <v>3</v>
      </c>
    </row>
    <row r="406" spans="1:6" x14ac:dyDescent="0.3">
      <c r="A406" s="14">
        <f t="shared" si="5"/>
        <v>27</v>
      </c>
      <c r="B406" s="15" t="s">
        <v>162</v>
      </c>
      <c r="C406" s="14">
        <f>_xlfn.XLOOKUP(B406,'Produtos &amp; Marcas'!B:B,'Produtos &amp; Marcas'!A:A)</f>
        <v>1</v>
      </c>
      <c r="D406" s="14">
        <v>2</v>
      </c>
      <c r="E406" s="16" t="s">
        <v>209</v>
      </c>
      <c r="F406" s="14">
        <f>_xlfn.XLOOKUP(E406,'Pontos de Partida'!B:B,'Pontos de Partida'!A:A)</f>
        <v>3</v>
      </c>
    </row>
    <row r="407" spans="1:6" x14ac:dyDescent="0.3">
      <c r="A407" s="14">
        <f t="shared" si="5"/>
        <v>27</v>
      </c>
      <c r="B407" s="15" t="s">
        <v>160</v>
      </c>
      <c r="C407" s="14">
        <f>_xlfn.XLOOKUP(B407,'Produtos &amp; Marcas'!B:B,'Produtos &amp; Marcas'!A:A)</f>
        <v>25</v>
      </c>
      <c r="D407" s="14">
        <v>2</v>
      </c>
      <c r="E407" s="16" t="s">
        <v>209</v>
      </c>
      <c r="F407" s="14">
        <f>_xlfn.XLOOKUP(E407,'Pontos de Partida'!B:B,'Pontos de Partida'!A:A)</f>
        <v>3</v>
      </c>
    </row>
    <row r="408" spans="1:6" x14ac:dyDescent="0.3">
      <c r="A408" s="14">
        <f t="shared" si="5"/>
        <v>27</v>
      </c>
      <c r="B408" s="15" t="s">
        <v>204</v>
      </c>
      <c r="C408" s="14">
        <f>_xlfn.XLOOKUP(B408,'Produtos &amp; Marcas'!B:B,'Produtos &amp; Marcas'!A:A)</f>
        <v>35</v>
      </c>
      <c r="D408" s="14">
        <v>0.2</v>
      </c>
      <c r="E408" s="16" t="s">
        <v>209</v>
      </c>
      <c r="F408" s="14">
        <f>_xlfn.XLOOKUP(E408,'Pontos de Partida'!B:B,'Pontos de Partida'!A:A)</f>
        <v>3</v>
      </c>
    </row>
    <row r="409" spans="1:6" x14ac:dyDescent="0.3">
      <c r="A409" s="14">
        <f t="shared" si="5"/>
        <v>27</v>
      </c>
      <c r="B409" s="15" t="s">
        <v>190</v>
      </c>
      <c r="C409" s="14">
        <f>_xlfn.XLOOKUP(B409,'Produtos &amp; Marcas'!B:B,'Produtos &amp; Marcas'!A:A)</f>
        <v>19</v>
      </c>
      <c r="D409" s="14">
        <v>1</v>
      </c>
      <c r="E409" s="16" t="s">
        <v>209</v>
      </c>
      <c r="F409" s="14">
        <f>_xlfn.XLOOKUP(E409,'Pontos de Partida'!B:B,'Pontos de Partida'!A:A)</f>
        <v>3</v>
      </c>
    </row>
    <row r="410" spans="1:6" x14ac:dyDescent="0.3">
      <c r="A410" s="14">
        <f t="shared" si="5"/>
        <v>27</v>
      </c>
      <c r="B410" s="15" t="s">
        <v>146</v>
      </c>
      <c r="C410" s="14">
        <f>_xlfn.XLOOKUP(B410,'Produtos &amp; Marcas'!B:B,'Produtos &amp; Marcas'!A:A)</f>
        <v>4</v>
      </c>
      <c r="D410" s="14">
        <v>3</v>
      </c>
      <c r="E410" s="16" t="s">
        <v>209</v>
      </c>
      <c r="F410" s="14">
        <f>_xlfn.XLOOKUP(E410,'Pontos de Partida'!B:B,'Pontos de Partida'!A:A)</f>
        <v>3</v>
      </c>
    </row>
    <row r="411" spans="1:6" x14ac:dyDescent="0.3">
      <c r="A411" s="14">
        <f t="shared" si="5"/>
        <v>28</v>
      </c>
      <c r="B411" s="15" t="s">
        <v>160</v>
      </c>
      <c r="C411" s="14">
        <f>_xlfn.XLOOKUP(B411,'Produtos &amp; Marcas'!B:B,'Produtos &amp; Marcas'!A:A)</f>
        <v>25</v>
      </c>
      <c r="D411" s="14">
        <v>2</v>
      </c>
      <c r="E411" s="16" t="s">
        <v>209</v>
      </c>
      <c r="F411" s="14">
        <f>_xlfn.XLOOKUP(E411,'Pontos de Partida'!B:B,'Pontos de Partida'!A:A)</f>
        <v>3</v>
      </c>
    </row>
    <row r="412" spans="1:6" x14ac:dyDescent="0.3">
      <c r="A412" s="14">
        <f t="shared" si="5"/>
        <v>28</v>
      </c>
      <c r="B412" s="15" t="s">
        <v>196</v>
      </c>
      <c r="C412" s="14">
        <f>_xlfn.XLOOKUP(B412,'Produtos &amp; Marcas'!B:B,'Produtos &amp; Marcas'!A:A)</f>
        <v>10</v>
      </c>
      <c r="D412" s="14">
        <v>0.8</v>
      </c>
      <c r="E412" s="16" t="s">
        <v>209</v>
      </c>
      <c r="F412" s="14">
        <f>_xlfn.XLOOKUP(E412,'Pontos de Partida'!B:B,'Pontos de Partida'!A:A)</f>
        <v>3</v>
      </c>
    </row>
    <row r="413" spans="1:6" x14ac:dyDescent="0.3">
      <c r="A413" s="14">
        <f t="shared" si="5"/>
        <v>28</v>
      </c>
      <c r="B413" s="15" t="s">
        <v>204</v>
      </c>
      <c r="C413" s="14">
        <f>_xlfn.XLOOKUP(B413,'Produtos &amp; Marcas'!B:B,'Produtos &amp; Marcas'!A:A)</f>
        <v>35</v>
      </c>
      <c r="D413" s="14">
        <v>0.2</v>
      </c>
      <c r="E413" s="16" t="s">
        <v>209</v>
      </c>
      <c r="F413" s="14">
        <f>_xlfn.XLOOKUP(E413,'Pontos de Partida'!B:B,'Pontos de Partida'!A:A)</f>
        <v>3</v>
      </c>
    </row>
    <row r="414" spans="1:6" x14ac:dyDescent="0.3">
      <c r="A414" s="14">
        <f t="shared" si="5"/>
        <v>28</v>
      </c>
      <c r="B414" s="15" t="s">
        <v>194</v>
      </c>
      <c r="C414" s="14">
        <f>_xlfn.XLOOKUP(B414,'Produtos &amp; Marcas'!B:B,'Produtos &amp; Marcas'!A:A)</f>
        <v>32</v>
      </c>
      <c r="D414" s="14">
        <v>1</v>
      </c>
      <c r="E414" s="16" t="s">
        <v>209</v>
      </c>
      <c r="F414" s="14">
        <f>_xlfn.XLOOKUP(E414,'Pontos de Partida'!B:B,'Pontos de Partida'!A:A)</f>
        <v>3</v>
      </c>
    </row>
    <row r="415" spans="1:6" x14ac:dyDescent="0.3">
      <c r="A415" s="14">
        <f t="shared" si="5"/>
        <v>28</v>
      </c>
      <c r="B415" s="15" t="s">
        <v>195</v>
      </c>
      <c r="C415" s="14">
        <f>_xlfn.XLOOKUP(B415,'Produtos &amp; Marcas'!B:B,'Produtos &amp; Marcas'!A:A)</f>
        <v>21</v>
      </c>
      <c r="D415" s="14">
        <v>1</v>
      </c>
      <c r="E415" s="16" t="s">
        <v>209</v>
      </c>
      <c r="F415" s="14">
        <f>_xlfn.XLOOKUP(E415,'Pontos de Partida'!B:B,'Pontos de Partida'!A:A)</f>
        <v>3</v>
      </c>
    </row>
    <row r="416" spans="1:6" x14ac:dyDescent="0.3">
      <c r="A416" s="14">
        <f t="shared" si="5"/>
        <v>28</v>
      </c>
      <c r="B416" s="15" t="s">
        <v>161</v>
      </c>
      <c r="C416" s="14">
        <f>_xlfn.XLOOKUP(B416,'Produtos &amp; Marcas'!B:B,'Produtos &amp; Marcas'!A:A)</f>
        <v>38</v>
      </c>
      <c r="D416" s="14">
        <v>0.5</v>
      </c>
      <c r="E416" s="16" t="s">
        <v>209</v>
      </c>
      <c r="F416" s="14">
        <f>_xlfn.XLOOKUP(E416,'Pontos de Partida'!B:B,'Pontos de Partida'!A:A)</f>
        <v>3</v>
      </c>
    </row>
    <row r="417" spans="1:6" x14ac:dyDescent="0.3">
      <c r="A417" s="14">
        <f t="shared" si="5"/>
        <v>28</v>
      </c>
      <c r="B417" s="15" t="s">
        <v>191</v>
      </c>
      <c r="C417" s="14">
        <f>_xlfn.XLOOKUP(B417,'Produtos &amp; Marcas'!B:B,'Produtos &amp; Marcas'!A:A)</f>
        <v>24</v>
      </c>
      <c r="D417" s="14">
        <v>3</v>
      </c>
      <c r="E417" s="16" t="s">
        <v>209</v>
      </c>
      <c r="F417" s="14">
        <f>_xlfn.XLOOKUP(E417,'Pontos de Partida'!B:B,'Pontos de Partida'!A:A)</f>
        <v>3</v>
      </c>
    </row>
    <row r="418" spans="1:6" x14ac:dyDescent="0.3">
      <c r="A418" s="14">
        <f t="shared" si="5"/>
        <v>28</v>
      </c>
      <c r="B418" s="15" t="s">
        <v>153</v>
      </c>
      <c r="C418" s="14">
        <f>_xlfn.XLOOKUP(B418,'Produtos &amp; Marcas'!B:B,'Produtos &amp; Marcas'!A:A)</f>
        <v>13</v>
      </c>
      <c r="D418" s="14">
        <v>1</v>
      </c>
      <c r="E418" s="16" t="s">
        <v>209</v>
      </c>
      <c r="F418" s="14">
        <f>_xlfn.XLOOKUP(E418,'Pontos de Partida'!B:B,'Pontos de Partida'!A:A)</f>
        <v>3</v>
      </c>
    </row>
    <row r="419" spans="1:6" x14ac:dyDescent="0.3">
      <c r="A419" s="14">
        <f t="shared" si="5"/>
        <v>28</v>
      </c>
      <c r="B419" s="15" t="s">
        <v>163</v>
      </c>
      <c r="C419" s="14">
        <f>_xlfn.XLOOKUP(B419,'Produtos &amp; Marcas'!B:B,'Produtos &amp; Marcas'!A:A)</f>
        <v>7</v>
      </c>
      <c r="D419" s="14">
        <v>0.4</v>
      </c>
      <c r="E419" s="16" t="s">
        <v>209</v>
      </c>
      <c r="F419" s="14">
        <f>_xlfn.XLOOKUP(E419,'Pontos de Partida'!B:B,'Pontos de Partida'!A:A)</f>
        <v>3</v>
      </c>
    </row>
    <row r="420" spans="1:6" x14ac:dyDescent="0.3">
      <c r="A420" s="14">
        <f t="shared" si="5"/>
        <v>28</v>
      </c>
      <c r="B420" s="15" t="s">
        <v>198</v>
      </c>
      <c r="C420" s="14">
        <f>_xlfn.XLOOKUP(B420,'Produtos &amp; Marcas'!B:B,'Produtos &amp; Marcas'!A:A)</f>
        <v>6</v>
      </c>
      <c r="D420" s="14">
        <v>3</v>
      </c>
      <c r="E420" s="16" t="s">
        <v>209</v>
      </c>
      <c r="F420" s="14">
        <f>_xlfn.XLOOKUP(E420,'Pontos de Partida'!B:B,'Pontos de Partida'!A:A)</f>
        <v>3</v>
      </c>
    </row>
    <row r="421" spans="1:6" x14ac:dyDescent="0.3">
      <c r="A421" s="14">
        <f t="shared" si="5"/>
        <v>28</v>
      </c>
      <c r="B421" s="15" t="s">
        <v>197</v>
      </c>
      <c r="C421" s="14">
        <f>_xlfn.XLOOKUP(B421,'Produtos &amp; Marcas'!B:B,'Produtos &amp; Marcas'!A:A)</f>
        <v>29</v>
      </c>
      <c r="D421" s="14">
        <v>1</v>
      </c>
      <c r="E421" s="16" t="s">
        <v>209</v>
      </c>
      <c r="F421" s="14">
        <f>_xlfn.XLOOKUP(E421,'Pontos de Partida'!B:B,'Pontos de Partida'!A:A)</f>
        <v>3</v>
      </c>
    </row>
    <row r="422" spans="1:6" x14ac:dyDescent="0.3">
      <c r="A422" s="14">
        <f t="shared" si="5"/>
        <v>28</v>
      </c>
      <c r="B422" s="15" t="s">
        <v>155</v>
      </c>
      <c r="C422" s="14">
        <f>_xlfn.XLOOKUP(B422,'Produtos &amp; Marcas'!B:B,'Produtos &amp; Marcas'!A:A)</f>
        <v>3</v>
      </c>
      <c r="D422" s="14">
        <v>2</v>
      </c>
      <c r="E422" s="16" t="s">
        <v>209</v>
      </c>
      <c r="F422" s="14">
        <f>_xlfn.XLOOKUP(E422,'Pontos de Partida'!B:B,'Pontos de Partida'!A:A)</f>
        <v>3</v>
      </c>
    </row>
    <row r="423" spans="1:6" x14ac:dyDescent="0.3">
      <c r="A423" s="14">
        <f t="shared" si="5"/>
        <v>29</v>
      </c>
      <c r="B423" s="15" t="s">
        <v>153</v>
      </c>
      <c r="C423" s="14">
        <f>_xlfn.XLOOKUP(B423,'Produtos &amp; Marcas'!B:B,'Produtos &amp; Marcas'!A:A)</f>
        <v>13</v>
      </c>
      <c r="D423" s="14">
        <v>1</v>
      </c>
      <c r="E423" s="16" t="s">
        <v>209</v>
      </c>
      <c r="F423" s="14">
        <f>_xlfn.XLOOKUP(E423,'Pontos de Partida'!B:B,'Pontos de Partida'!A:A)</f>
        <v>3</v>
      </c>
    </row>
    <row r="424" spans="1:6" x14ac:dyDescent="0.3">
      <c r="A424" s="14">
        <f t="shared" si="5"/>
        <v>29</v>
      </c>
      <c r="B424" s="15" t="s">
        <v>146</v>
      </c>
      <c r="C424" s="14">
        <f>_xlfn.XLOOKUP(B424,'Produtos &amp; Marcas'!B:B,'Produtos &amp; Marcas'!A:A)</f>
        <v>4</v>
      </c>
      <c r="D424" s="14">
        <v>3</v>
      </c>
      <c r="E424" s="16" t="s">
        <v>209</v>
      </c>
      <c r="F424" s="14">
        <f>_xlfn.XLOOKUP(E424,'Pontos de Partida'!B:B,'Pontos de Partida'!A:A)</f>
        <v>3</v>
      </c>
    </row>
    <row r="425" spans="1:6" x14ac:dyDescent="0.3">
      <c r="A425" s="14">
        <f t="shared" si="5"/>
        <v>29</v>
      </c>
      <c r="B425" s="15" t="s">
        <v>199</v>
      </c>
      <c r="C425" s="14">
        <f>_xlfn.XLOOKUP(B425,'Produtos &amp; Marcas'!B:B,'Produtos &amp; Marcas'!A:A)</f>
        <v>23</v>
      </c>
      <c r="D425" s="14">
        <v>3</v>
      </c>
      <c r="E425" s="16" t="s">
        <v>209</v>
      </c>
      <c r="F425" s="14">
        <f>_xlfn.XLOOKUP(E425,'Pontos de Partida'!B:B,'Pontos de Partida'!A:A)</f>
        <v>3</v>
      </c>
    </row>
    <row r="426" spans="1:6" x14ac:dyDescent="0.3">
      <c r="A426" s="14">
        <f t="shared" si="5"/>
        <v>29</v>
      </c>
      <c r="B426" s="15" t="s">
        <v>200</v>
      </c>
      <c r="C426" s="14">
        <f>_xlfn.XLOOKUP(B426,'Produtos &amp; Marcas'!B:B,'Produtos &amp; Marcas'!A:A)</f>
        <v>27</v>
      </c>
      <c r="D426" s="14">
        <v>2</v>
      </c>
      <c r="E426" s="16" t="s">
        <v>209</v>
      </c>
      <c r="F426" s="14">
        <f>_xlfn.XLOOKUP(E426,'Pontos de Partida'!B:B,'Pontos de Partida'!A:A)</f>
        <v>3</v>
      </c>
    </row>
    <row r="427" spans="1:6" x14ac:dyDescent="0.3">
      <c r="A427" s="14">
        <f t="shared" si="5"/>
        <v>29</v>
      </c>
      <c r="B427" s="15" t="s">
        <v>158</v>
      </c>
      <c r="C427" s="14">
        <f>_xlfn.XLOOKUP(B427,'Produtos &amp; Marcas'!B:B,'Produtos &amp; Marcas'!A:A)</f>
        <v>2</v>
      </c>
      <c r="D427" s="14">
        <v>2</v>
      </c>
      <c r="E427" s="16" t="s">
        <v>209</v>
      </c>
      <c r="F427" s="14">
        <f>_xlfn.XLOOKUP(E427,'Pontos de Partida'!B:B,'Pontos de Partida'!A:A)</f>
        <v>3</v>
      </c>
    </row>
    <row r="428" spans="1:6" x14ac:dyDescent="0.3">
      <c r="A428" s="14">
        <f t="shared" si="5"/>
        <v>30</v>
      </c>
      <c r="B428" s="15" t="s">
        <v>206</v>
      </c>
      <c r="C428" s="14">
        <f>_xlfn.XLOOKUP(B428,'Produtos &amp; Marcas'!B:B,'Produtos &amp; Marcas'!A:A)</f>
        <v>18</v>
      </c>
      <c r="D428" s="14">
        <v>1.5</v>
      </c>
      <c r="E428" s="16" t="s">
        <v>209</v>
      </c>
      <c r="F428" s="14">
        <f>_xlfn.XLOOKUP(E428,'Pontos de Partida'!B:B,'Pontos de Partida'!A:A)</f>
        <v>3</v>
      </c>
    </row>
    <row r="429" spans="1:6" x14ac:dyDescent="0.3">
      <c r="A429" s="14">
        <f t="shared" si="5"/>
        <v>30</v>
      </c>
      <c r="B429" s="15" t="s">
        <v>154</v>
      </c>
      <c r="C429" s="14">
        <f>_xlfn.XLOOKUP(B429,'Produtos &amp; Marcas'!B:B,'Produtos &amp; Marcas'!A:A)</f>
        <v>22</v>
      </c>
      <c r="D429" s="14">
        <v>3</v>
      </c>
      <c r="E429" s="16" t="s">
        <v>209</v>
      </c>
      <c r="F429" s="14">
        <f>_xlfn.XLOOKUP(E429,'Pontos de Partida'!B:B,'Pontos de Partida'!A:A)</f>
        <v>3</v>
      </c>
    </row>
    <row r="430" spans="1:6" x14ac:dyDescent="0.3">
      <c r="A430" s="14">
        <f t="shared" si="5"/>
        <v>30</v>
      </c>
      <c r="B430" s="15" t="s">
        <v>151</v>
      </c>
      <c r="C430" s="14">
        <f>_xlfn.XLOOKUP(B430,'Produtos &amp; Marcas'!B:B,'Produtos &amp; Marcas'!A:A)</f>
        <v>5</v>
      </c>
      <c r="D430" s="14">
        <v>3</v>
      </c>
      <c r="E430" s="16" t="s">
        <v>209</v>
      </c>
      <c r="F430" s="14">
        <f>_xlfn.XLOOKUP(E430,'Pontos de Partida'!B:B,'Pontos de Partida'!A:A)</f>
        <v>3</v>
      </c>
    </row>
    <row r="431" spans="1:6" x14ac:dyDescent="0.3">
      <c r="A431" s="14">
        <f t="shared" si="5"/>
        <v>30</v>
      </c>
      <c r="B431" s="15" t="s">
        <v>190</v>
      </c>
      <c r="C431" s="14">
        <f>_xlfn.XLOOKUP(B431,'Produtos &amp; Marcas'!B:B,'Produtos &amp; Marcas'!A:A)</f>
        <v>19</v>
      </c>
      <c r="D431" s="14">
        <v>1</v>
      </c>
      <c r="E431" s="16" t="s">
        <v>209</v>
      </c>
      <c r="F431" s="14">
        <f>_xlfn.XLOOKUP(E431,'Pontos de Partida'!B:B,'Pontos de Partida'!A:A)</f>
        <v>3</v>
      </c>
    </row>
    <row r="432" spans="1:6" x14ac:dyDescent="0.3">
      <c r="A432" s="14">
        <f t="shared" si="5"/>
        <v>31</v>
      </c>
      <c r="B432" s="15" t="s">
        <v>204</v>
      </c>
      <c r="C432" s="14">
        <f>_xlfn.XLOOKUP(B432,'Produtos &amp; Marcas'!B:B,'Produtos &amp; Marcas'!A:A)</f>
        <v>35</v>
      </c>
      <c r="D432" s="14">
        <v>0.2</v>
      </c>
      <c r="E432" s="16" t="s">
        <v>209</v>
      </c>
      <c r="F432" s="14">
        <f>_xlfn.XLOOKUP(E432,'Pontos de Partida'!B:B,'Pontos de Partida'!A:A)</f>
        <v>3</v>
      </c>
    </row>
    <row r="433" spans="1:6" x14ac:dyDescent="0.3">
      <c r="A433" s="14">
        <f t="shared" si="5"/>
        <v>31</v>
      </c>
      <c r="B433" s="15" t="s">
        <v>203</v>
      </c>
      <c r="C433" s="14">
        <f>_xlfn.XLOOKUP(B433,'Produtos &amp; Marcas'!B:B,'Produtos &amp; Marcas'!A:A)</f>
        <v>30</v>
      </c>
      <c r="D433" s="14">
        <v>1</v>
      </c>
      <c r="E433" s="16" t="s">
        <v>209</v>
      </c>
      <c r="F433" s="14">
        <f>_xlfn.XLOOKUP(E433,'Pontos de Partida'!B:B,'Pontos de Partida'!A:A)</f>
        <v>3</v>
      </c>
    </row>
    <row r="434" spans="1:6" x14ac:dyDescent="0.3">
      <c r="A434" s="14">
        <f t="shared" si="5"/>
        <v>31</v>
      </c>
      <c r="B434" s="15" t="s">
        <v>159</v>
      </c>
      <c r="C434" s="14">
        <f>_xlfn.XLOOKUP(B434,'Produtos &amp; Marcas'!B:B,'Produtos &amp; Marcas'!A:A)</f>
        <v>17</v>
      </c>
      <c r="D434" s="14">
        <v>1.5</v>
      </c>
      <c r="E434" s="16" t="s">
        <v>209</v>
      </c>
      <c r="F434" s="14">
        <f>_xlfn.XLOOKUP(E434,'Pontos de Partida'!B:B,'Pontos de Partida'!A:A)</f>
        <v>3</v>
      </c>
    </row>
    <row r="435" spans="1:6" x14ac:dyDescent="0.3">
      <c r="A435" s="14">
        <f t="shared" si="5"/>
        <v>31</v>
      </c>
      <c r="B435" s="15" t="s">
        <v>161</v>
      </c>
      <c r="C435" s="14">
        <f>_xlfn.XLOOKUP(B435,'Produtos &amp; Marcas'!B:B,'Produtos &amp; Marcas'!A:A)</f>
        <v>38</v>
      </c>
      <c r="D435" s="14">
        <v>0.5</v>
      </c>
      <c r="E435" s="16" t="s">
        <v>209</v>
      </c>
      <c r="F435" s="14">
        <f>_xlfn.XLOOKUP(E435,'Pontos de Partida'!B:B,'Pontos de Partida'!A:A)</f>
        <v>3</v>
      </c>
    </row>
    <row r="436" spans="1:6" x14ac:dyDescent="0.3">
      <c r="A436" s="14">
        <f t="shared" si="5"/>
        <v>32</v>
      </c>
      <c r="B436" s="15" t="s">
        <v>156</v>
      </c>
      <c r="C436" s="14">
        <f>_xlfn.XLOOKUP(B436,'Produtos &amp; Marcas'!B:B,'Produtos &amp; Marcas'!A:A)</f>
        <v>12</v>
      </c>
      <c r="D436" s="14">
        <v>0.8</v>
      </c>
      <c r="E436" s="16" t="s">
        <v>209</v>
      </c>
      <c r="F436" s="14">
        <f>_xlfn.XLOOKUP(E436,'Pontos de Partida'!B:B,'Pontos de Partida'!A:A)</f>
        <v>3</v>
      </c>
    </row>
    <row r="437" spans="1:6" x14ac:dyDescent="0.3">
      <c r="A437" s="14">
        <f t="shared" si="5"/>
        <v>32</v>
      </c>
      <c r="B437" s="15" t="s">
        <v>150</v>
      </c>
      <c r="C437" s="14">
        <f>_xlfn.XLOOKUP(B437,'Produtos &amp; Marcas'!B:B,'Produtos &amp; Marcas'!A:A)</f>
        <v>37</v>
      </c>
      <c r="D437" s="14">
        <v>0.5</v>
      </c>
      <c r="E437" s="16" t="s">
        <v>209</v>
      </c>
      <c r="F437" s="14">
        <f>_xlfn.XLOOKUP(E437,'Pontos de Partida'!B:B,'Pontos de Partida'!A:A)</f>
        <v>3</v>
      </c>
    </row>
    <row r="438" spans="1:6" x14ac:dyDescent="0.3">
      <c r="A438" s="14">
        <f t="shared" si="5"/>
        <v>32</v>
      </c>
      <c r="B438" s="15" t="s">
        <v>155</v>
      </c>
      <c r="C438" s="14">
        <f>_xlfn.XLOOKUP(B438,'Produtos &amp; Marcas'!B:B,'Produtos &amp; Marcas'!A:A)</f>
        <v>3</v>
      </c>
      <c r="D438" s="14">
        <v>2</v>
      </c>
      <c r="E438" s="16" t="s">
        <v>209</v>
      </c>
      <c r="F438" s="14">
        <f>_xlfn.XLOOKUP(E438,'Pontos de Partida'!B:B,'Pontos de Partida'!A:A)</f>
        <v>3</v>
      </c>
    </row>
    <row r="439" spans="1:6" x14ac:dyDescent="0.3">
      <c r="A439" s="14">
        <f t="shared" si="5"/>
        <v>32</v>
      </c>
      <c r="B439" s="15" t="s">
        <v>198</v>
      </c>
      <c r="C439" s="14">
        <f>_xlfn.XLOOKUP(B439,'Produtos &amp; Marcas'!B:B,'Produtos &amp; Marcas'!A:A)</f>
        <v>6</v>
      </c>
      <c r="D439" s="14">
        <v>3</v>
      </c>
      <c r="E439" s="16" t="s">
        <v>209</v>
      </c>
      <c r="F439" s="14">
        <f>_xlfn.XLOOKUP(E439,'Pontos de Partida'!B:B,'Pontos de Partida'!A:A)</f>
        <v>3</v>
      </c>
    </row>
    <row r="440" spans="1:6" x14ac:dyDescent="0.3">
      <c r="A440" s="14">
        <f t="shared" si="5"/>
        <v>32</v>
      </c>
      <c r="B440" s="15" t="s">
        <v>194</v>
      </c>
      <c r="C440" s="14">
        <f>_xlfn.XLOOKUP(B440,'Produtos &amp; Marcas'!B:B,'Produtos &amp; Marcas'!A:A)</f>
        <v>32</v>
      </c>
      <c r="D440" s="14">
        <v>1</v>
      </c>
      <c r="E440" s="16" t="s">
        <v>209</v>
      </c>
      <c r="F440" s="14">
        <f>_xlfn.XLOOKUP(E440,'Pontos de Partida'!B:B,'Pontos de Partida'!A:A)</f>
        <v>3</v>
      </c>
    </row>
    <row r="441" spans="1:6" x14ac:dyDescent="0.3">
      <c r="A441" s="14">
        <f t="shared" si="5"/>
        <v>32</v>
      </c>
      <c r="B441" s="15" t="s">
        <v>153</v>
      </c>
      <c r="C441" s="14">
        <f>_xlfn.XLOOKUP(B441,'Produtos &amp; Marcas'!B:B,'Produtos &amp; Marcas'!A:A)</f>
        <v>13</v>
      </c>
      <c r="D441" s="14">
        <v>1</v>
      </c>
      <c r="E441" s="16" t="s">
        <v>209</v>
      </c>
      <c r="F441" s="14">
        <f>_xlfn.XLOOKUP(E441,'Pontos de Partida'!B:B,'Pontos de Partida'!A:A)</f>
        <v>3</v>
      </c>
    </row>
    <row r="442" spans="1:6" x14ac:dyDescent="0.3">
      <c r="A442" s="14">
        <f t="shared" si="5"/>
        <v>32</v>
      </c>
      <c r="B442" s="15" t="s">
        <v>192</v>
      </c>
      <c r="C442" s="14">
        <f>_xlfn.XLOOKUP(B442,'Produtos &amp; Marcas'!B:B,'Produtos &amp; Marcas'!A:A)</f>
        <v>28</v>
      </c>
      <c r="D442" s="14">
        <v>1</v>
      </c>
      <c r="E442" s="16" t="s">
        <v>209</v>
      </c>
      <c r="F442" s="14">
        <f>_xlfn.XLOOKUP(E442,'Pontos de Partida'!B:B,'Pontos de Partida'!A:A)</f>
        <v>3</v>
      </c>
    </row>
    <row r="443" spans="1:6" x14ac:dyDescent="0.3">
      <c r="A443" s="14">
        <f t="shared" si="5"/>
        <v>32</v>
      </c>
      <c r="B443" s="15" t="s">
        <v>193</v>
      </c>
      <c r="C443" s="14">
        <f>_xlfn.XLOOKUP(B443,'Produtos &amp; Marcas'!B:B,'Produtos &amp; Marcas'!A:A)</f>
        <v>34</v>
      </c>
      <c r="D443" s="14">
        <v>0.2</v>
      </c>
      <c r="E443" s="16" t="s">
        <v>209</v>
      </c>
      <c r="F443" s="14">
        <f>_xlfn.XLOOKUP(E443,'Pontos de Partida'!B:B,'Pontos de Partida'!A:A)</f>
        <v>3</v>
      </c>
    </row>
    <row r="444" spans="1:6" x14ac:dyDescent="0.3">
      <c r="A444" s="14">
        <f t="shared" si="5"/>
        <v>32</v>
      </c>
      <c r="B444" s="15" t="s">
        <v>190</v>
      </c>
      <c r="C444" s="14">
        <f>_xlfn.XLOOKUP(B444,'Produtos &amp; Marcas'!B:B,'Produtos &amp; Marcas'!A:A)</f>
        <v>19</v>
      </c>
      <c r="D444" s="14">
        <v>1</v>
      </c>
      <c r="E444" s="16" t="s">
        <v>209</v>
      </c>
      <c r="F444" s="14">
        <f>_xlfn.XLOOKUP(E444,'Pontos de Partida'!B:B,'Pontos de Partida'!A:A)</f>
        <v>3</v>
      </c>
    </row>
    <row r="445" spans="1:6" x14ac:dyDescent="0.3">
      <c r="A445" s="14">
        <f t="shared" si="5"/>
        <v>32</v>
      </c>
      <c r="B445" s="15" t="s">
        <v>200</v>
      </c>
      <c r="C445" s="14">
        <f>_xlfn.XLOOKUP(B445,'Produtos &amp; Marcas'!B:B,'Produtos &amp; Marcas'!A:A)</f>
        <v>27</v>
      </c>
      <c r="D445" s="14">
        <v>2</v>
      </c>
      <c r="E445" s="16" t="s">
        <v>209</v>
      </c>
      <c r="F445" s="14">
        <f>_xlfn.XLOOKUP(E445,'Pontos de Partida'!B:B,'Pontos de Partida'!A:A)</f>
        <v>3</v>
      </c>
    </row>
    <row r="446" spans="1:6" x14ac:dyDescent="0.3">
      <c r="A446" s="14">
        <f t="shared" si="5"/>
        <v>33</v>
      </c>
      <c r="B446" s="15" t="s">
        <v>148</v>
      </c>
      <c r="C446" s="14">
        <f>_xlfn.XLOOKUP(B446,'Produtos &amp; Marcas'!B:B,'Produtos &amp; Marcas'!A:A)</f>
        <v>14</v>
      </c>
      <c r="D446" s="14">
        <v>1</v>
      </c>
      <c r="E446" s="16" t="s">
        <v>209</v>
      </c>
      <c r="F446" s="14">
        <f>_xlfn.XLOOKUP(E446,'Pontos de Partida'!B:B,'Pontos de Partida'!A:A)</f>
        <v>3</v>
      </c>
    </row>
    <row r="447" spans="1:6" x14ac:dyDescent="0.3">
      <c r="A447" s="14">
        <f t="shared" si="5"/>
        <v>33</v>
      </c>
      <c r="B447" s="15" t="s">
        <v>199</v>
      </c>
      <c r="C447" s="14">
        <f>_xlfn.XLOOKUP(B447,'Produtos &amp; Marcas'!B:B,'Produtos &amp; Marcas'!A:A)</f>
        <v>23</v>
      </c>
      <c r="D447" s="14">
        <v>3</v>
      </c>
      <c r="E447" s="16" t="s">
        <v>209</v>
      </c>
      <c r="F447" s="14">
        <f>_xlfn.XLOOKUP(E447,'Pontos de Partida'!B:B,'Pontos de Partida'!A:A)</f>
        <v>3</v>
      </c>
    </row>
    <row r="448" spans="1:6" x14ac:dyDescent="0.3">
      <c r="A448" s="14">
        <f t="shared" si="5"/>
        <v>33</v>
      </c>
      <c r="B448" s="15" t="s">
        <v>207</v>
      </c>
      <c r="C448" s="14">
        <f>_xlfn.XLOOKUP(B448,'Produtos &amp; Marcas'!B:B,'Produtos &amp; Marcas'!A:A)</f>
        <v>36</v>
      </c>
      <c r="D448" s="14">
        <v>0.2</v>
      </c>
      <c r="E448" s="16" t="s">
        <v>209</v>
      </c>
      <c r="F448" s="14">
        <f>_xlfn.XLOOKUP(E448,'Pontos de Partida'!B:B,'Pontos de Partida'!A:A)</f>
        <v>3</v>
      </c>
    </row>
    <row r="449" spans="1:6" x14ac:dyDescent="0.3">
      <c r="A449" s="14">
        <f t="shared" si="5"/>
        <v>33</v>
      </c>
      <c r="B449" s="15" t="s">
        <v>159</v>
      </c>
      <c r="C449" s="14">
        <f>_xlfn.XLOOKUP(B449,'Produtos &amp; Marcas'!B:B,'Produtos &amp; Marcas'!A:A)</f>
        <v>17</v>
      </c>
      <c r="D449" s="14">
        <v>1.5</v>
      </c>
      <c r="E449" s="16" t="s">
        <v>209</v>
      </c>
      <c r="F449" s="14">
        <f>_xlfn.XLOOKUP(E449,'Pontos de Partida'!B:B,'Pontos de Partida'!A:A)</f>
        <v>3</v>
      </c>
    </row>
    <row r="450" spans="1:6" x14ac:dyDescent="0.3">
      <c r="A450" s="14">
        <f t="shared" si="5"/>
        <v>33</v>
      </c>
      <c r="B450" s="15" t="s">
        <v>189</v>
      </c>
      <c r="C450" s="14">
        <f>_xlfn.XLOOKUP(B450,'Produtos &amp; Marcas'!B:B,'Produtos &amp; Marcas'!A:A)</f>
        <v>8</v>
      </c>
      <c r="D450" s="14">
        <v>0.4</v>
      </c>
      <c r="E450" s="16" t="s">
        <v>209</v>
      </c>
      <c r="F450" s="14">
        <f>_xlfn.XLOOKUP(E450,'Pontos de Partida'!B:B,'Pontos de Partida'!A:A)</f>
        <v>3</v>
      </c>
    </row>
    <row r="451" spans="1:6" x14ac:dyDescent="0.3">
      <c r="A451" s="14">
        <f t="shared" si="5"/>
        <v>33</v>
      </c>
      <c r="B451" s="15" t="s">
        <v>197</v>
      </c>
      <c r="C451" s="14">
        <f>_xlfn.XLOOKUP(B451,'Produtos &amp; Marcas'!B:B,'Produtos &amp; Marcas'!A:A)</f>
        <v>29</v>
      </c>
      <c r="D451" s="14">
        <v>1</v>
      </c>
      <c r="E451" s="16" t="s">
        <v>209</v>
      </c>
      <c r="F451" s="14">
        <f>_xlfn.XLOOKUP(E451,'Pontos de Partida'!B:B,'Pontos de Partida'!A:A)</f>
        <v>3</v>
      </c>
    </row>
    <row r="452" spans="1:6" x14ac:dyDescent="0.3">
      <c r="A452" s="14">
        <f t="shared" si="5"/>
        <v>33</v>
      </c>
      <c r="B452" s="15" t="s">
        <v>200</v>
      </c>
      <c r="C452" s="14">
        <f>_xlfn.XLOOKUP(B452,'Produtos &amp; Marcas'!B:B,'Produtos &amp; Marcas'!A:A)</f>
        <v>27</v>
      </c>
      <c r="D452" s="14">
        <v>2</v>
      </c>
      <c r="E452" s="16" t="s">
        <v>209</v>
      </c>
      <c r="F452" s="14">
        <f>_xlfn.XLOOKUP(E452,'Pontos de Partida'!B:B,'Pontos de Partida'!A:A)</f>
        <v>3</v>
      </c>
    </row>
    <row r="453" spans="1:6" x14ac:dyDescent="0.3">
      <c r="A453" s="14">
        <f t="shared" si="5"/>
        <v>33</v>
      </c>
      <c r="B453" s="15" t="s">
        <v>158</v>
      </c>
      <c r="C453" s="14">
        <f>_xlfn.XLOOKUP(B453,'Produtos &amp; Marcas'!B:B,'Produtos &amp; Marcas'!A:A)</f>
        <v>2</v>
      </c>
      <c r="D453" s="14">
        <v>2</v>
      </c>
      <c r="E453" s="16" t="s">
        <v>209</v>
      </c>
      <c r="F453" s="14">
        <f>_xlfn.XLOOKUP(E453,'Pontos de Partida'!B:B,'Pontos de Partida'!A:A)</f>
        <v>3</v>
      </c>
    </row>
    <row r="454" spans="1:6" x14ac:dyDescent="0.3">
      <c r="A454" s="14">
        <f t="shared" si="5"/>
        <v>34</v>
      </c>
      <c r="B454" s="15" t="s">
        <v>198</v>
      </c>
      <c r="C454" s="14">
        <f>_xlfn.XLOOKUP(B454,'Produtos &amp; Marcas'!B:B,'Produtos &amp; Marcas'!A:A)</f>
        <v>6</v>
      </c>
      <c r="D454" s="14">
        <v>3</v>
      </c>
      <c r="E454" s="16" t="s">
        <v>210</v>
      </c>
      <c r="F454" s="14">
        <f>_xlfn.XLOOKUP(E454,'Pontos de Partida'!B:B,'Pontos de Partida'!A:A)</f>
        <v>4</v>
      </c>
    </row>
    <row r="455" spans="1:6" x14ac:dyDescent="0.3">
      <c r="A455" s="14">
        <f t="shared" si="5"/>
        <v>34</v>
      </c>
      <c r="B455" s="15" t="s">
        <v>155</v>
      </c>
      <c r="C455" s="14">
        <f>_xlfn.XLOOKUP(B455,'Produtos &amp; Marcas'!B:B,'Produtos &amp; Marcas'!A:A)</f>
        <v>3</v>
      </c>
      <c r="D455" s="14">
        <v>2</v>
      </c>
      <c r="E455" s="16" t="s">
        <v>210</v>
      </c>
      <c r="F455" s="14">
        <f>_xlfn.XLOOKUP(E455,'Pontos de Partida'!B:B,'Pontos de Partida'!A:A)</f>
        <v>4</v>
      </c>
    </row>
    <row r="456" spans="1:6" x14ac:dyDescent="0.3">
      <c r="A456" s="14">
        <f t="shared" si="5"/>
        <v>34</v>
      </c>
      <c r="B456" s="15" t="s">
        <v>152</v>
      </c>
      <c r="C456" s="14">
        <f>_xlfn.XLOOKUP(B456,'Produtos &amp; Marcas'!B:B,'Produtos &amp; Marcas'!A:A)</f>
        <v>9</v>
      </c>
      <c r="D456" s="14">
        <v>0.4</v>
      </c>
      <c r="E456" s="16" t="s">
        <v>210</v>
      </c>
      <c r="F456" s="14">
        <f>_xlfn.XLOOKUP(E456,'Pontos de Partida'!B:B,'Pontos de Partida'!A:A)</f>
        <v>4</v>
      </c>
    </row>
    <row r="457" spans="1:6" x14ac:dyDescent="0.3">
      <c r="A457" s="14">
        <f t="shared" si="5"/>
        <v>34</v>
      </c>
      <c r="B457" s="15" t="s">
        <v>156</v>
      </c>
      <c r="C457" s="14">
        <f>_xlfn.XLOOKUP(B457,'Produtos &amp; Marcas'!B:B,'Produtos &amp; Marcas'!A:A)</f>
        <v>12</v>
      </c>
      <c r="D457" s="14">
        <v>0.8</v>
      </c>
      <c r="E457" s="16" t="s">
        <v>210</v>
      </c>
      <c r="F457" s="14">
        <f>_xlfn.XLOOKUP(E457,'Pontos de Partida'!B:B,'Pontos de Partida'!A:A)</f>
        <v>4</v>
      </c>
    </row>
    <row r="458" spans="1:6" x14ac:dyDescent="0.3">
      <c r="A458" s="14">
        <f t="shared" si="5"/>
        <v>34</v>
      </c>
      <c r="B458" s="15" t="s">
        <v>153</v>
      </c>
      <c r="C458" s="14">
        <f>_xlfn.XLOOKUP(B458,'Produtos &amp; Marcas'!B:B,'Produtos &amp; Marcas'!A:A)</f>
        <v>13</v>
      </c>
      <c r="D458" s="14">
        <v>1</v>
      </c>
      <c r="E458" s="16" t="s">
        <v>210</v>
      </c>
      <c r="F458" s="14">
        <f>_xlfn.XLOOKUP(E458,'Pontos de Partida'!B:B,'Pontos de Partida'!A:A)</f>
        <v>4</v>
      </c>
    </row>
    <row r="459" spans="1:6" x14ac:dyDescent="0.3">
      <c r="A459" s="14">
        <f t="shared" si="5"/>
        <v>34</v>
      </c>
      <c r="B459" s="15" t="s">
        <v>157</v>
      </c>
      <c r="C459" s="14">
        <f>_xlfn.XLOOKUP(B459,'Produtos &amp; Marcas'!B:B,'Produtos &amp; Marcas'!A:A)</f>
        <v>16</v>
      </c>
      <c r="D459" s="14">
        <v>1.5</v>
      </c>
      <c r="E459" s="16" t="s">
        <v>210</v>
      </c>
      <c r="F459" s="14">
        <f>_xlfn.XLOOKUP(E459,'Pontos de Partida'!B:B,'Pontos de Partida'!A:A)</f>
        <v>4</v>
      </c>
    </row>
    <row r="460" spans="1:6" x14ac:dyDescent="0.3">
      <c r="A460" s="14">
        <f t="shared" si="5"/>
        <v>34</v>
      </c>
      <c r="B460" s="15" t="s">
        <v>190</v>
      </c>
      <c r="C460" s="14">
        <f>_xlfn.XLOOKUP(B460,'Produtos &amp; Marcas'!B:B,'Produtos &amp; Marcas'!A:A)</f>
        <v>19</v>
      </c>
      <c r="D460" s="14">
        <v>1</v>
      </c>
      <c r="E460" s="16" t="s">
        <v>210</v>
      </c>
      <c r="F460" s="14">
        <f>_xlfn.XLOOKUP(E460,'Pontos de Partida'!B:B,'Pontos de Partida'!A:A)</f>
        <v>4</v>
      </c>
    </row>
    <row r="461" spans="1:6" x14ac:dyDescent="0.3">
      <c r="A461" s="14">
        <f t="shared" si="5"/>
        <v>34</v>
      </c>
      <c r="B461" s="15" t="s">
        <v>199</v>
      </c>
      <c r="C461" s="14">
        <f>_xlfn.XLOOKUP(B461,'Produtos &amp; Marcas'!B:B,'Produtos &amp; Marcas'!A:A)</f>
        <v>23</v>
      </c>
      <c r="D461" s="14">
        <v>3</v>
      </c>
      <c r="E461" s="16" t="s">
        <v>210</v>
      </c>
      <c r="F461" s="14">
        <f>_xlfn.XLOOKUP(E461,'Pontos de Partida'!B:B,'Pontos de Partida'!A:A)</f>
        <v>4</v>
      </c>
    </row>
    <row r="462" spans="1:6" x14ac:dyDescent="0.3">
      <c r="A462" s="14">
        <f t="shared" si="5"/>
        <v>34</v>
      </c>
      <c r="B462" s="15" t="s">
        <v>200</v>
      </c>
      <c r="C462" s="14">
        <f>_xlfn.XLOOKUP(B462,'Produtos &amp; Marcas'!B:B,'Produtos &amp; Marcas'!A:A)</f>
        <v>27</v>
      </c>
      <c r="D462" s="14">
        <v>2</v>
      </c>
      <c r="E462" s="16" t="s">
        <v>210</v>
      </c>
      <c r="F462" s="14">
        <f>_xlfn.XLOOKUP(E462,'Pontos de Partida'!B:B,'Pontos de Partida'!A:A)</f>
        <v>4</v>
      </c>
    </row>
    <row r="463" spans="1:6" x14ac:dyDescent="0.3">
      <c r="A463" s="14">
        <f t="shared" ref="A463:A526" si="6">A371+11</f>
        <v>34</v>
      </c>
      <c r="B463" s="15" t="s">
        <v>192</v>
      </c>
      <c r="C463" s="14">
        <f>_xlfn.XLOOKUP(B463,'Produtos &amp; Marcas'!B:B,'Produtos &amp; Marcas'!A:A)</f>
        <v>28</v>
      </c>
      <c r="D463" s="14">
        <v>1</v>
      </c>
      <c r="E463" s="16" t="s">
        <v>210</v>
      </c>
      <c r="F463" s="14">
        <f>_xlfn.XLOOKUP(E463,'Pontos de Partida'!B:B,'Pontos de Partida'!A:A)</f>
        <v>4</v>
      </c>
    </row>
    <row r="464" spans="1:6" x14ac:dyDescent="0.3">
      <c r="A464" s="14">
        <f t="shared" si="6"/>
        <v>34</v>
      </c>
      <c r="B464" s="15" t="s">
        <v>193</v>
      </c>
      <c r="C464" s="14">
        <f>_xlfn.XLOOKUP(B464,'Produtos &amp; Marcas'!B:B,'Produtos &amp; Marcas'!A:A)</f>
        <v>34</v>
      </c>
      <c r="D464" s="14">
        <v>0.2</v>
      </c>
      <c r="E464" s="16" t="s">
        <v>210</v>
      </c>
      <c r="F464" s="14">
        <f>_xlfn.XLOOKUP(E464,'Pontos de Partida'!B:B,'Pontos de Partida'!A:A)</f>
        <v>4</v>
      </c>
    </row>
    <row r="465" spans="1:6" x14ac:dyDescent="0.3">
      <c r="A465" s="14">
        <f t="shared" si="6"/>
        <v>34</v>
      </c>
      <c r="B465" s="15" t="s">
        <v>150</v>
      </c>
      <c r="C465" s="14">
        <f>_xlfn.XLOOKUP(B465,'Produtos &amp; Marcas'!B:B,'Produtos &amp; Marcas'!A:A)</f>
        <v>37</v>
      </c>
      <c r="D465" s="14">
        <v>0.5</v>
      </c>
      <c r="E465" s="16" t="s">
        <v>210</v>
      </c>
      <c r="F465" s="14">
        <f>_xlfn.XLOOKUP(E465,'Pontos de Partida'!B:B,'Pontos de Partida'!A:A)</f>
        <v>4</v>
      </c>
    </row>
    <row r="466" spans="1:6" x14ac:dyDescent="0.3">
      <c r="A466" s="14">
        <f t="shared" si="6"/>
        <v>34</v>
      </c>
      <c r="B466" s="15" t="s">
        <v>194</v>
      </c>
      <c r="C466" s="14">
        <f>_xlfn.XLOOKUP(B466,'Produtos &amp; Marcas'!B:B,'Produtos &amp; Marcas'!A:A)</f>
        <v>32</v>
      </c>
      <c r="D466" s="14">
        <v>1</v>
      </c>
      <c r="E466" s="16" t="s">
        <v>210</v>
      </c>
      <c r="F466" s="14">
        <f>_xlfn.XLOOKUP(E466,'Pontos de Partida'!B:B,'Pontos de Partida'!A:A)</f>
        <v>4</v>
      </c>
    </row>
    <row r="467" spans="1:6" x14ac:dyDescent="0.3">
      <c r="A467" s="14">
        <f t="shared" si="6"/>
        <v>35</v>
      </c>
      <c r="B467" s="15" t="s">
        <v>146</v>
      </c>
      <c r="C467" s="14">
        <f>_xlfn.XLOOKUP(B467,'Produtos &amp; Marcas'!B:B,'Produtos &amp; Marcas'!A:A)</f>
        <v>4</v>
      </c>
      <c r="D467" s="14">
        <v>3</v>
      </c>
      <c r="E467" s="16" t="s">
        <v>210</v>
      </c>
      <c r="F467" s="14">
        <f>_xlfn.XLOOKUP(E467,'Pontos de Partida'!B:B,'Pontos de Partida'!A:A)</f>
        <v>4</v>
      </c>
    </row>
    <row r="468" spans="1:6" x14ac:dyDescent="0.3">
      <c r="A468" s="14">
        <f t="shared" si="6"/>
        <v>35</v>
      </c>
      <c r="B468" s="15" t="s">
        <v>158</v>
      </c>
      <c r="C468" s="14">
        <f>_xlfn.XLOOKUP(B468,'Produtos &amp; Marcas'!B:B,'Produtos &amp; Marcas'!A:A)</f>
        <v>2</v>
      </c>
      <c r="D468" s="14">
        <v>2</v>
      </c>
      <c r="E468" s="16" t="s">
        <v>210</v>
      </c>
      <c r="F468" s="14">
        <f>_xlfn.XLOOKUP(E468,'Pontos de Partida'!B:B,'Pontos de Partida'!A:A)</f>
        <v>4</v>
      </c>
    </row>
    <row r="469" spans="1:6" x14ac:dyDescent="0.3">
      <c r="A469" s="14">
        <f t="shared" si="6"/>
        <v>35</v>
      </c>
      <c r="B469" s="15" t="s">
        <v>189</v>
      </c>
      <c r="C469" s="14">
        <f>_xlfn.XLOOKUP(B469,'Produtos &amp; Marcas'!B:B,'Produtos &amp; Marcas'!A:A)</f>
        <v>8</v>
      </c>
      <c r="D469" s="14">
        <v>0.4</v>
      </c>
      <c r="E469" s="16" t="s">
        <v>210</v>
      </c>
      <c r="F469" s="14">
        <f>_xlfn.XLOOKUP(E469,'Pontos de Partida'!B:B,'Pontos de Partida'!A:A)</f>
        <v>4</v>
      </c>
    </row>
    <row r="470" spans="1:6" x14ac:dyDescent="0.3">
      <c r="A470" s="14">
        <f t="shared" si="6"/>
        <v>35</v>
      </c>
      <c r="B470" s="15" t="s">
        <v>147</v>
      </c>
      <c r="C470" s="14">
        <f>_xlfn.XLOOKUP(B470,'Produtos &amp; Marcas'!B:B,'Produtos &amp; Marcas'!A:A)</f>
        <v>11</v>
      </c>
      <c r="D470" s="14">
        <v>0.8</v>
      </c>
      <c r="E470" s="16" t="s">
        <v>210</v>
      </c>
      <c r="F470" s="14">
        <f>_xlfn.XLOOKUP(E470,'Pontos de Partida'!B:B,'Pontos de Partida'!A:A)</f>
        <v>4</v>
      </c>
    </row>
    <row r="471" spans="1:6" x14ac:dyDescent="0.3">
      <c r="A471" s="14">
        <f t="shared" si="6"/>
        <v>35</v>
      </c>
      <c r="B471" s="15" t="s">
        <v>201</v>
      </c>
      <c r="C471" s="14">
        <f>_xlfn.XLOOKUP(B471,'Produtos &amp; Marcas'!B:B,'Produtos &amp; Marcas'!A:A)</f>
        <v>15</v>
      </c>
      <c r="D471" s="14">
        <v>1</v>
      </c>
      <c r="E471" s="16" t="s">
        <v>210</v>
      </c>
      <c r="F471" s="14">
        <f>_xlfn.XLOOKUP(E471,'Pontos de Partida'!B:B,'Pontos de Partida'!A:A)</f>
        <v>4</v>
      </c>
    </row>
    <row r="472" spans="1:6" x14ac:dyDescent="0.3">
      <c r="A472" s="14">
        <f t="shared" si="6"/>
        <v>35</v>
      </c>
      <c r="B472" s="15" t="s">
        <v>159</v>
      </c>
      <c r="C472" s="14">
        <f>_xlfn.XLOOKUP(B472,'Produtos &amp; Marcas'!B:B,'Produtos &amp; Marcas'!A:A)</f>
        <v>17</v>
      </c>
      <c r="D472" s="14">
        <v>1.5</v>
      </c>
      <c r="E472" s="16" t="s">
        <v>210</v>
      </c>
      <c r="F472" s="14">
        <f>_xlfn.XLOOKUP(E472,'Pontos de Partida'!B:B,'Pontos de Partida'!A:A)</f>
        <v>4</v>
      </c>
    </row>
    <row r="473" spans="1:6" x14ac:dyDescent="0.3">
      <c r="A473" s="14">
        <f t="shared" si="6"/>
        <v>35</v>
      </c>
      <c r="B473" s="15" t="s">
        <v>202</v>
      </c>
      <c r="C473" s="14">
        <f>_xlfn.XLOOKUP(B473,'Produtos &amp; Marcas'!B:B,'Produtos &amp; Marcas'!A:A)</f>
        <v>20</v>
      </c>
      <c r="D473" s="14">
        <v>1</v>
      </c>
      <c r="E473" s="16" t="s">
        <v>210</v>
      </c>
      <c r="F473" s="14">
        <f>_xlfn.XLOOKUP(E473,'Pontos de Partida'!B:B,'Pontos de Partida'!A:A)</f>
        <v>4</v>
      </c>
    </row>
    <row r="474" spans="1:6" x14ac:dyDescent="0.3">
      <c r="A474" s="14">
        <f t="shared" si="6"/>
        <v>35</v>
      </c>
      <c r="B474" s="15" t="s">
        <v>154</v>
      </c>
      <c r="C474" s="14">
        <f>_xlfn.XLOOKUP(B474,'Produtos &amp; Marcas'!B:B,'Produtos &amp; Marcas'!A:A)</f>
        <v>22</v>
      </c>
      <c r="D474" s="14">
        <v>3</v>
      </c>
      <c r="E474" s="16" t="s">
        <v>210</v>
      </c>
      <c r="F474" s="14">
        <f>_xlfn.XLOOKUP(E474,'Pontos de Partida'!B:B,'Pontos de Partida'!A:A)</f>
        <v>4</v>
      </c>
    </row>
    <row r="475" spans="1:6" x14ac:dyDescent="0.3">
      <c r="A475" s="14">
        <f t="shared" si="6"/>
        <v>35</v>
      </c>
      <c r="B475" s="15" t="s">
        <v>160</v>
      </c>
      <c r="C475" s="14">
        <f>_xlfn.XLOOKUP(B475,'Produtos &amp; Marcas'!B:B,'Produtos &amp; Marcas'!A:A)</f>
        <v>25</v>
      </c>
      <c r="D475" s="14">
        <v>2</v>
      </c>
      <c r="E475" s="16" t="s">
        <v>210</v>
      </c>
      <c r="F475" s="14">
        <f>_xlfn.XLOOKUP(E475,'Pontos de Partida'!B:B,'Pontos de Partida'!A:A)</f>
        <v>4</v>
      </c>
    </row>
    <row r="476" spans="1:6" x14ac:dyDescent="0.3">
      <c r="A476" s="14">
        <f t="shared" si="6"/>
        <v>35</v>
      </c>
      <c r="B476" s="15" t="s">
        <v>203</v>
      </c>
      <c r="C476" s="14">
        <f>_xlfn.XLOOKUP(B476,'Produtos &amp; Marcas'!B:B,'Produtos &amp; Marcas'!A:A)</f>
        <v>30</v>
      </c>
      <c r="D476" s="14">
        <v>1</v>
      </c>
      <c r="E476" s="16" t="s">
        <v>210</v>
      </c>
      <c r="F476" s="14">
        <f>_xlfn.XLOOKUP(E476,'Pontos de Partida'!B:B,'Pontos de Partida'!A:A)</f>
        <v>4</v>
      </c>
    </row>
    <row r="477" spans="1:6" x14ac:dyDescent="0.3">
      <c r="A477" s="14">
        <f t="shared" si="6"/>
        <v>35</v>
      </c>
      <c r="B477" s="15" t="s">
        <v>204</v>
      </c>
      <c r="C477" s="14">
        <f>_xlfn.XLOOKUP(B477,'Produtos &amp; Marcas'!B:B,'Produtos &amp; Marcas'!A:A)</f>
        <v>35</v>
      </c>
      <c r="D477" s="14">
        <v>0.2</v>
      </c>
      <c r="E477" s="16" t="s">
        <v>210</v>
      </c>
      <c r="F477" s="14">
        <f>_xlfn.XLOOKUP(E477,'Pontos de Partida'!B:B,'Pontos de Partida'!A:A)</f>
        <v>4</v>
      </c>
    </row>
    <row r="478" spans="1:6" x14ac:dyDescent="0.3">
      <c r="A478" s="14">
        <f t="shared" si="6"/>
        <v>35</v>
      </c>
      <c r="B478" s="15" t="s">
        <v>161</v>
      </c>
      <c r="C478" s="14">
        <f>_xlfn.XLOOKUP(B478,'Produtos &amp; Marcas'!B:B,'Produtos &amp; Marcas'!A:A)</f>
        <v>38</v>
      </c>
      <c r="D478" s="14">
        <v>0.5</v>
      </c>
      <c r="E478" s="16" t="s">
        <v>210</v>
      </c>
      <c r="F478" s="14">
        <f>_xlfn.XLOOKUP(E478,'Pontos de Partida'!B:B,'Pontos de Partida'!A:A)</f>
        <v>4</v>
      </c>
    </row>
    <row r="479" spans="1:6" x14ac:dyDescent="0.3">
      <c r="A479" s="14">
        <f t="shared" si="6"/>
        <v>35</v>
      </c>
      <c r="B479" s="15" t="s">
        <v>205</v>
      </c>
      <c r="C479" s="14">
        <f>_xlfn.XLOOKUP(B479,'Produtos &amp; Marcas'!B:B,'Produtos &amp; Marcas'!A:A)</f>
        <v>31</v>
      </c>
      <c r="D479" s="14">
        <v>1</v>
      </c>
      <c r="E479" s="16" t="s">
        <v>210</v>
      </c>
      <c r="F479" s="14">
        <f>_xlfn.XLOOKUP(E479,'Pontos de Partida'!B:B,'Pontos de Partida'!A:A)</f>
        <v>4</v>
      </c>
    </row>
    <row r="480" spans="1:6" x14ac:dyDescent="0.3">
      <c r="A480" s="14">
        <f t="shared" si="6"/>
        <v>36</v>
      </c>
      <c r="B480" s="15" t="s">
        <v>151</v>
      </c>
      <c r="C480" s="14">
        <f>_xlfn.XLOOKUP(B480,'Produtos &amp; Marcas'!B:B,'Produtos &amp; Marcas'!A:A)</f>
        <v>5</v>
      </c>
      <c r="D480" s="14">
        <v>3</v>
      </c>
      <c r="E480" s="16" t="s">
        <v>210</v>
      </c>
      <c r="F480" s="14">
        <f>_xlfn.XLOOKUP(E480,'Pontos de Partida'!B:B,'Pontos de Partida'!A:A)</f>
        <v>4</v>
      </c>
    </row>
    <row r="481" spans="1:6" x14ac:dyDescent="0.3">
      <c r="A481" s="14">
        <f t="shared" si="6"/>
        <v>36</v>
      </c>
      <c r="B481" s="15" t="s">
        <v>162</v>
      </c>
      <c r="C481" s="14">
        <f>_xlfn.XLOOKUP(B481,'Produtos &amp; Marcas'!B:B,'Produtos &amp; Marcas'!A:A)</f>
        <v>1</v>
      </c>
      <c r="D481" s="14">
        <v>2</v>
      </c>
      <c r="E481" s="16" t="s">
        <v>210</v>
      </c>
      <c r="F481" s="14">
        <f>_xlfn.XLOOKUP(E481,'Pontos de Partida'!B:B,'Pontos de Partida'!A:A)</f>
        <v>4</v>
      </c>
    </row>
    <row r="482" spans="1:6" x14ac:dyDescent="0.3">
      <c r="A482" s="14">
        <f t="shared" si="6"/>
        <v>36</v>
      </c>
      <c r="B482" s="15" t="s">
        <v>152</v>
      </c>
      <c r="C482" s="14">
        <f>_xlfn.XLOOKUP(B482,'Produtos &amp; Marcas'!B:B,'Produtos &amp; Marcas'!A:A)</f>
        <v>9</v>
      </c>
      <c r="D482" s="14">
        <v>0.4</v>
      </c>
      <c r="E482" s="16" t="s">
        <v>210</v>
      </c>
      <c r="F482" s="14">
        <f>_xlfn.XLOOKUP(E482,'Pontos de Partida'!B:B,'Pontos de Partida'!A:A)</f>
        <v>4</v>
      </c>
    </row>
    <row r="483" spans="1:6" x14ac:dyDescent="0.3">
      <c r="A483" s="14">
        <f t="shared" si="6"/>
        <v>36</v>
      </c>
      <c r="B483" s="15" t="s">
        <v>147</v>
      </c>
      <c r="C483" s="14">
        <f>_xlfn.XLOOKUP(B483,'Produtos &amp; Marcas'!B:B,'Produtos &amp; Marcas'!A:A)</f>
        <v>11</v>
      </c>
      <c r="D483" s="14">
        <v>0.8</v>
      </c>
      <c r="E483" s="16" t="s">
        <v>210</v>
      </c>
      <c r="F483" s="14">
        <f>_xlfn.XLOOKUP(E483,'Pontos de Partida'!B:B,'Pontos de Partida'!A:A)</f>
        <v>4</v>
      </c>
    </row>
    <row r="484" spans="1:6" x14ac:dyDescent="0.3">
      <c r="A484" s="14">
        <f t="shared" si="6"/>
        <v>36</v>
      </c>
      <c r="B484" s="15" t="s">
        <v>148</v>
      </c>
      <c r="C484" s="14">
        <f>_xlfn.XLOOKUP(B484,'Produtos &amp; Marcas'!B:B,'Produtos &amp; Marcas'!A:A)</f>
        <v>14</v>
      </c>
      <c r="D484" s="14">
        <v>1</v>
      </c>
      <c r="E484" s="16" t="s">
        <v>210</v>
      </c>
      <c r="F484" s="14">
        <f>_xlfn.XLOOKUP(E484,'Pontos de Partida'!B:B,'Pontos de Partida'!A:A)</f>
        <v>4</v>
      </c>
    </row>
    <row r="485" spans="1:6" x14ac:dyDescent="0.3">
      <c r="A485" s="14">
        <f t="shared" si="6"/>
        <v>36</v>
      </c>
      <c r="B485" s="15" t="s">
        <v>206</v>
      </c>
      <c r="C485" s="14">
        <f>_xlfn.XLOOKUP(B485,'Produtos &amp; Marcas'!B:B,'Produtos &amp; Marcas'!A:A)</f>
        <v>18</v>
      </c>
      <c r="D485" s="14">
        <v>1.5</v>
      </c>
      <c r="E485" s="16" t="s">
        <v>210</v>
      </c>
      <c r="F485" s="14">
        <f>_xlfn.XLOOKUP(E485,'Pontos de Partida'!B:B,'Pontos de Partida'!A:A)</f>
        <v>4</v>
      </c>
    </row>
    <row r="486" spans="1:6" x14ac:dyDescent="0.3">
      <c r="A486" s="14">
        <f t="shared" si="6"/>
        <v>36</v>
      </c>
      <c r="B486" s="15" t="s">
        <v>195</v>
      </c>
      <c r="C486" s="14">
        <f>_xlfn.XLOOKUP(B486,'Produtos &amp; Marcas'!B:B,'Produtos &amp; Marcas'!A:A)</f>
        <v>21</v>
      </c>
      <c r="D486" s="14">
        <v>1</v>
      </c>
      <c r="E486" s="16" t="s">
        <v>210</v>
      </c>
      <c r="F486" s="14">
        <f>_xlfn.XLOOKUP(E486,'Pontos de Partida'!B:B,'Pontos de Partida'!A:A)</f>
        <v>4</v>
      </c>
    </row>
    <row r="487" spans="1:6" x14ac:dyDescent="0.3">
      <c r="A487" s="14">
        <f t="shared" si="6"/>
        <v>36</v>
      </c>
      <c r="B487" s="15" t="s">
        <v>199</v>
      </c>
      <c r="C487" s="14">
        <f>_xlfn.XLOOKUP(B487,'Produtos &amp; Marcas'!B:B,'Produtos &amp; Marcas'!A:A)</f>
        <v>23</v>
      </c>
      <c r="D487" s="14">
        <v>3</v>
      </c>
      <c r="E487" s="16" t="s">
        <v>210</v>
      </c>
      <c r="F487" s="14">
        <f>_xlfn.XLOOKUP(E487,'Pontos de Partida'!B:B,'Pontos de Partida'!A:A)</f>
        <v>4</v>
      </c>
    </row>
    <row r="488" spans="1:6" x14ac:dyDescent="0.3">
      <c r="A488" s="14">
        <f t="shared" si="6"/>
        <v>36</v>
      </c>
      <c r="B488" s="15" t="s">
        <v>200</v>
      </c>
      <c r="C488" s="14">
        <f>_xlfn.XLOOKUP(B488,'Produtos &amp; Marcas'!B:B,'Produtos &amp; Marcas'!A:A)</f>
        <v>27</v>
      </c>
      <c r="D488" s="14">
        <v>2</v>
      </c>
      <c r="E488" s="16" t="s">
        <v>210</v>
      </c>
      <c r="F488" s="14">
        <f>_xlfn.XLOOKUP(E488,'Pontos de Partida'!B:B,'Pontos de Partida'!A:A)</f>
        <v>4</v>
      </c>
    </row>
    <row r="489" spans="1:6" x14ac:dyDescent="0.3">
      <c r="A489" s="14">
        <f t="shared" si="6"/>
        <v>36</v>
      </c>
      <c r="B489" s="15" t="s">
        <v>197</v>
      </c>
      <c r="C489" s="14">
        <f>_xlfn.XLOOKUP(B489,'Produtos &amp; Marcas'!B:B,'Produtos &amp; Marcas'!A:A)</f>
        <v>29</v>
      </c>
      <c r="D489" s="14">
        <v>1</v>
      </c>
      <c r="E489" s="16" t="s">
        <v>210</v>
      </c>
      <c r="F489" s="14">
        <f>_xlfn.XLOOKUP(E489,'Pontos de Partida'!B:B,'Pontos de Partida'!A:A)</f>
        <v>4</v>
      </c>
    </row>
    <row r="490" spans="1:6" x14ac:dyDescent="0.3">
      <c r="A490" s="14">
        <f t="shared" si="6"/>
        <v>36</v>
      </c>
      <c r="B490" s="15" t="s">
        <v>207</v>
      </c>
      <c r="C490" s="14">
        <f>_xlfn.XLOOKUP(B490,'Produtos &amp; Marcas'!B:B,'Produtos &amp; Marcas'!A:A)</f>
        <v>36</v>
      </c>
      <c r="D490" s="14">
        <v>0.2</v>
      </c>
      <c r="E490" s="16" t="s">
        <v>210</v>
      </c>
      <c r="F490" s="14">
        <f>_xlfn.XLOOKUP(E490,'Pontos de Partida'!B:B,'Pontos de Partida'!A:A)</f>
        <v>4</v>
      </c>
    </row>
    <row r="491" spans="1:6" x14ac:dyDescent="0.3">
      <c r="A491" s="14">
        <f t="shared" si="6"/>
        <v>36</v>
      </c>
      <c r="B491" s="15" t="s">
        <v>208</v>
      </c>
      <c r="C491" s="14">
        <f>_xlfn.XLOOKUP(B491,'Produtos &amp; Marcas'!B:B,'Produtos &amp; Marcas'!A:A)</f>
        <v>39</v>
      </c>
      <c r="D491" s="14">
        <v>0.5</v>
      </c>
      <c r="E491" s="16" t="s">
        <v>210</v>
      </c>
      <c r="F491" s="14">
        <f>_xlfn.XLOOKUP(E491,'Pontos de Partida'!B:B,'Pontos de Partida'!A:A)</f>
        <v>4</v>
      </c>
    </row>
    <row r="492" spans="1:6" x14ac:dyDescent="0.3">
      <c r="A492" s="14">
        <f t="shared" si="6"/>
        <v>36</v>
      </c>
      <c r="B492" s="15" t="s">
        <v>194</v>
      </c>
      <c r="C492" s="14">
        <f>_xlfn.XLOOKUP(B492,'Produtos &amp; Marcas'!B:B,'Produtos &amp; Marcas'!A:A)</f>
        <v>32</v>
      </c>
      <c r="D492" s="14">
        <v>1</v>
      </c>
      <c r="E492" s="16" t="s">
        <v>210</v>
      </c>
      <c r="F492" s="14">
        <f>_xlfn.XLOOKUP(E492,'Pontos de Partida'!B:B,'Pontos de Partida'!A:A)</f>
        <v>4</v>
      </c>
    </row>
    <row r="493" spans="1:6" x14ac:dyDescent="0.3">
      <c r="A493" s="14">
        <f t="shared" si="6"/>
        <v>37</v>
      </c>
      <c r="B493" s="15" t="s">
        <v>193</v>
      </c>
      <c r="C493" s="14">
        <f>_xlfn.XLOOKUP(B493,'Produtos &amp; Marcas'!B:B,'Produtos &amp; Marcas'!A:A)</f>
        <v>34</v>
      </c>
      <c r="D493" s="14">
        <v>0.2</v>
      </c>
      <c r="E493" s="16" t="s">
        <v>210</v>
      </c>
      <c r="F493" s="14">
        <f>_xlfn.XLOOKUP(E493,'Pontos de Partida'!B:B,'Pontos de Partida'!A:A)</f>
        <v>4</v>
      </c>
    </row>
    <row r="494" spans="1:6" x14ac:dyDescent="0.3">
      <c r="A494" s="14">
        <f t="shared" si="6"/>
        <v>37</v>
      </c>
      <c r="B494" s="15" t="s">
        <v>158</v>
      </c>
      <c r="C494" s="14">
        <f>_xlfn.XLOOKUP(B494,'Produtos &amp; Marcas'!B:B,'Produtos &amp; Marcas'!A:A)</f>
        <v>2</v>
      </c>
      <c r="D494" s="14">
        <v>2</v>
      </c>
      <c r="E494" s="16" t="s">
        <v>210</v>
      </c>
      <c r="F494" s="14">
        <f>_xlfn.XLOOKUP(E494,'Pontos de Partida'!B:B,'Pontos de Partida'!A:A)</f>
        <v>4</v>
      </c>
    </row>
    <row r="495" spans="1:6" x14ac:dyDescent="0.3">
      <c r="A495" s="14">
        <f t="shared" si="6"/>
        <v>37</v>
      </c>
      <c r="B495" s="15" t="s">
        <v>146</v>
      </c>
      <c r="C495" s="14">
        <f>_xlfn.XLOOKUP(B495,'Produtos &amp; Marcas'!B:B,'Produtos &amp; Marcas'!A:A)</f>
        <v>4</v>
      </c>
      <c r="D495" s="14">
        <v>3</v>
      </c>
      <c r="E495" s="16" t="s">
        <v>210</v>
      </c>
      <c r="F495" s="14">
        <f>_xlfn.XLOOKUP(E495,'Pontos de Partida'!B:B,'Pontos de Partida'!A:A)</f>
        <v>4</v>
      </c>
    </row>
    <row r="496" spans="1:6" x14ac:dyDescent="0.3">
      <c r="A496" s="14">
        <f t="shared" si="6"/>
        <v>38</v>
      </c>
      <c r="B496" s="15" t="s">
        <v>147</v>
      </c>
      <c r="C496" s="14">
        <f>_xlfn.XLOOKUP(B496,'Produtos &amp; Marcas'!B:B,'Produtos &amp; Marcas'!A:A)</f>
        <v>11</v>
      </c>
      <c r="D496" s="14">
        <v>0.8</v>
      </c>
      <c r="E496" s="16" t="s">
        <v>210</v>
      </c>
      <c r="F496" s="14">
        <f>_xlfn.XLOOKUP(E496,'Pontos de Partida'!B:B,'Pontos de Partida'!A:A)</f>
        <v>4</v>
      </c>
    </row>
    <row r="497" spans="1:6" x14ac:dyDescent="0.3">
      <c r="A497" s="14">
        <f t="shared" si="6"/>
        <v>38</v>
      </c>
      <c r="B497" s="15" t="s">
        <v>163</v>
      </c>
      <c r="C497" s="14">
        <f>_xlfn.XLOOKUP(B497,'Produtos &amp; Marcas'!B:B,'Produtos &amp; Marcas'!A:A)</f>
        <v>7</v>
      </c>
      <c r="D497" s="14">
        <v>0.4</v>
      </c>
      <c r="E497" s="16" t="s">
        <v>210</v>
      </c>
      <c r="F497" s="14">
        <f>_xlfn.XLOOKUP(E497,'Pontos de Partida'!B:B,'Pontos de Partida'!A:A)</f>
        <v>4</v>
      </c>
    </row>
    <row r="498" spans="1:6" x14ac:dyDescent="0.3">
      <c r="A498" s="14">
        <f t="shared" si="6"/>
        <v>38</v>
      </c>
      <c r="B498" s="15" t="s">
        <v>162</v>
      </c>
      <c r="C498" s="14">
        <f>_xlfn.XLOOKUP(B498,'Produtos &amp; Marcas'!B:B,'Produtos &amp; Marcas'!A:A)</f>
        <v>1</v>
      </c>
      <c r="D498" s="14">
        <v>2</v>
      </c>
      <c r="E498" s="16" t="s">
        <v>210</v>
      </c>
      <c r="F498" s="14">
        <f>_xlfn.XLOOKUP(E498,'Pontos de Partida'!B:B,'Pontos de Partida'!A:A)</f>
        <v>4</v>
      </c>
    </row>
    <row r="499" spans="1:6" x14ac:dyDescent="0.3">
      <c r="A499" s="14">
        <f t="shared" si="6"/>
        <v>38</v>
      </c>
      <c r="B499" s="15" t="s">
        <v>160</v>
      </c>
      <c r="C499" s="14">
        <f>_xlfn.XLOOKUP(B499,'Produtos &amp; Marcas'!B:B,'Produtos &amp; Marcas'!A:A)</f>
        <v>25</v>
      </c>
      <c r="D499" s="14">
        <v>2</v>
      </c>
      <c r="E499" s="16" t="s">
        <v>210</v>
      </c>
      <c r="F499" s="14">
        <f>_xlfn.XLOOKUP(E499,'Pontos de Partida'!B:B,'Pontos de Partida'!A:A)</f>
        <v>4</v>
      </c>
    </row>
    <row r="500" spans="1:6" x14ac:dyDescent="0.3">
      <c r="A500" s="14">
        <f t="shared" si="6"/>
        <v>38</v>
      </c>
      <c r="B500" s="15" t="s">
        <v>204</v>
      </c>
      <c r="C500" s="14">
        <f>_xlfn.XLOOKUP(B500,'Produtos &amp; Marcas'!B:B,'Produtos &amp; Marcas'!A:A)</f>
        <v>35</v>
      </c>
      <c r="D500" s="14">
        <v>0.2</v>
      </c>
      <c r="E500" s="16" t="s">
        <v>210</v>
      </c>
      <c r="F500" s="14">
        <f>_xlfn.XLOOKUP(E500,'Pontos de Partida'!B:B,'Pontos de Partida'!A:A)</f>
        <v>4</v>
      </c>
    </row>
    <row r="501" spans="1:6" x14ac:dyDescent="0.3">
      <c r="A501" s="14">
        <f t="shared" si="6"/>
        <v>38</v>
      </c>
      <c r="B501" s="15" t="s">
        <v>190</v>
      </c>
      <c r="C501" s="14">
        <f>_xlfn.XLOOKUP(B501,'Produtos &amp; Marcas'!B:B,'Produtos &amp; Marcas'!A:A)</f>
        <v>19</v>
      </c>
      <c r="D501" s="14">
        <v>1</v>
      </c>
      <c r="E501" s="16" t="s">
        <v>210</v>
      </c>
      <c r="F501" s="14">
        <f>_xlfn.XLOOKUP(E501,'Pontos de Partida'!B:B,'Pontos de Partida'!A:A)</f>
        <v>4</v>
      </c>
    </row>
    <row r="502" spans="1:6" x14ac:dyDescent="0.3">
      <c r="A502" s="14">
        <f t="shared" si="6"/>
        <v>38</v>
      </c>
      <c r="B502" s="15" t="s">
        <v>146</v>
      </c>
      <c r="C502" s="14">
        <f>_xlfn.XLOOKUP(B502,'Produtos &amp; Marcas'!B:B,'Produtos &amp; Marcas'!A:A)</f>
        <v>4</v>
      </c>
      <c r="D502" s="14">
        <v>3</v>
      </c>
      <c r="E502" s="16" t="s">
        <v>210</v>
      </c>
      <c r="F502" s="14">
        <f>_xlfn.XLOOKUP(E502,'Pontos de Partida'!B:B,'Pontos de Partida'!A:A)</f>
        <v>4</v>
      </c>
    </row>
    <row r="503" spans="1:6" x14ac:dyDescent="0.3">
      <c r="A503" s="14">
        <f t="shared" si="6"/>
        <v>39</v>
      </c>
      <c r="B503" s="15" t="s">
        <v>160</v>
      </c>
      <c r="C503" s="14">
        <f>_xlfn.XLOOKUP(B503,'Produtos &amp; Marcas'!B:B,'Produtos &amp; Marcas'!A:A)</f>
        <v>25</v>
      </c>
      <c r="D503" s="14">
        <v>2</v>
      </c>
      <c r="E503" s="16" t="s">
        <v>210</v>
      </c>
      <c r="F503" s="14">
        <f>_xlfn.XLOOKUP(E503,'Pontos de Partida'!B:B,'Pontos de Partida'!A:A)</f>
        <v>4</v>
      </c>
    </row>
    <row r="504" spans="1:6" x14ac:dyDescent="0.3">
      <c r="A504" s="14">
        <f t="shared" si="6"/>
        <v>39</v>
      </c>
      <c r="B504" s="15" t="s">
        <v>196</v>
      </c>
      <c r="C504" s="14">
        <f>_xlfn.XLOOKUP(B504,'Produtos &amp; Marcas'!B:B,'Produtos &amp; Marcas'!A:A)</f>
        <v>10</v>
      </c>
      <c r="D504" s="14">
        <v>0.8</v>
      </c>
      <c r="E504" s="16" t="s">
        <v>210</v>
      </c>
      <c r="F504" s="14">
        <f>_xlfn.XLOOKUP(E504,'Pontos de Partida'!B:B,'Pontos de Partida'!A:A)</f>
        <v>4</v>
      </c>
    </row>
    <row r="505" spans="1:6" x14ac:dyDescent="0.3">
      <c r="A505" s="14">
        <f t="shared" si="6"/>
        <v>39</v>
      </c>
      <c r="B505" s="15" t="s">
        <v>204</v>
      </c>
      <c r="C505" s="14">
        <f>_xlfn.XLOOKUP(B505,'Produtos &amp; Marcas'!B:B,'Produtos &amp; Marcas'!A:A)</f>
        <v>35</v>
      </c>
      <c r="D505" s="14">
        <v>0.2</v>
      </c>
      <c r="E505" s="16" t="s">
        <v>210</v>
      </c>
      <c r="F505" s="14">
        <f>_xlfn.XLOOKUP(E505,'Pontos de Partida'!B:B,'Pontos de Partida'!A:A)</f>
        <v>4</v>
      </c>
    </row>
    <row r="506" spans="1:6" x14ac:dyDescent="0.3">
      <c r="A506" s="14">
        <f t="shared" si="6"/>
        <v>39</v>
      </c>
      <c r="B506" s="15" t="s">
        <v>194</v>
      </c>
      <c r="C506" s="14">
        <f>_xlfn.XLOOKUP(B506,'Produtos &amp; Marcas'!B:B,'Produtos &amp; Marcas'!A:A)</f>
        <v>32</v>
      </c>
      <c r="D506" s="14">
        <v>1</v>
      </c>
      <c r="E506" s="16" t="s">
        <v>210</v>
      </c>
      <c r="F506" s="14">
        <f>_xlfn.XLOOKUP(E506,'Pontos de Partida'!B:B,'Pontos de Partida'!A:A)</f>
        <v>4</v>
      </c>
    </row>
    <row r="507" spans="1:6" x14ac:dyDescent="0.3">
      <c r="A507" s="14">
        <f t="shared" si="6"/>
        <v>39</v>
      </c>
      <c r="B507" s="15" t="s">
        <v>195</v>
      </c>
      <c r="C507" s="14">
        <f>_xlfn.XLOOKUP(B507,'Produtos &amp; Marcas'!B:B,'Produtos &amp; Marcas'!A:A)</f>
        <v>21</v>
      </c>
      <c r="D507" s="14">
        <v>1</v>
      </c>
      <c r="E507" s="16" t="s">
        <v>210</v>
      </c>
      <c r="F507" s="14">
        <f>_xlfn.XLOOKUP(E507,'Pontos de Partida'!B:B,'Pontos de Partida'!A:A)</f>
        <v>4</v>
      </c>
    </row>
    <row r="508" spans="1:6" x14ac:dyDescent="0.3">
      <c r="A508" s="14">
        <f t="shared" si="6"/>
        <v>39</v>
      </c>
      <c r="B508" s="15" t="s">
        <v>161</v>
      </c>
      <c r="C508" s="14">
        <f>_xlfn.XLOOKUP(B508,'Produtos &amp; Marcas'!B:B,'Produtos &amp; Marcas'!A:A)</f>
        <v>38</v>
      </c>
      <c r="D508" s="14">
        <v>0.5</v>
      </c>
      <c r="E508" s="16" t="s">
        <v>210</v>
      </c>
      <c r="F508" s="14">
        <f>_xlfn.XLOOKUP(E508,'Pontos de Partida'!B:B,'Pontos de Partida'!A:A)</f>
        <v>4</v>
      </c>
    </row>
    <row r="509" spans="1:6" x14ac:dyDescent="0.3">
      <c r="A509" s="14">
        <f t="shared" si="6"/>
        <v>39</v>
      </c>
      <c r="B509" s="15" t="s">
        <v>191</v>
      </c>
      <c r="C509" s="14">
        <f>_xlfn.XLOOKUP(B509,'Produtos &amp; Marcas'!B:B,'Produtos &amp; Marcas'!A:A)</f>
        <v>24</v>
      </c>
      <c r="D509" s="14">
        <v>3</v>
      </c>
      <c r="E509" s="16" t="s">
        <v>210</v>
      </c>
      <c r="F509" s="14">
        <f>_xlfn.XLOOKUP(E509,'Pontos de Partida'!B:B,'Pontos de Partida'!A:A)</f>
        <v>4</v>
      </c>
    </row>
    <row r="510" spans="1:6" x14ac:dyDescent="0.3">
      <c r="A510" s="14">
        <f t="shared" si="6"/>
        <v>39</v>
      </c>
      <c r="B510" s="15" t="s">
        <v>153</v>
      </c>
      <c r="C510" s="14">
        <f>_xlfn.XLOOKUP(B510,'Produtos &amp; Marcas'!B:B,'Produtos &amp; Marcas'!A:A)</f>
        <v>13</v>
      </c>
      <c r="D510" s="14">
        <v>1</v>
      </c>
      <c r="E510" s="16" t="s">
        <v>210</v>
      </c>
      <c r="F510" s="14">
        <f>_xlfn.XLOOKUP(E510,'Pontos de Partida'!B:B,'Pontos de Partida'!A:A)</f>
        <v>4</v>
      </c>
    </row>
    <row r="511" spans="1:6" x14ac:dyDescent="0.3">
      <c r="A511" s="14">
        <f t="shared" si="6"/>
        <v>39</v>
      </c>
      <c r="B511" s="15" t="s">
        <v>163</v>
      </c>
      <c r="C511" s="14">
        <f>_xlfn.XLOOKUP(B511,'Produtos &amp; Marcas'!B:B,'Produtos &amp; Marcas'!A:A)</f>
        <v>7</v>
      </c>
      <c r="D511" s="14">
        <v>0.4</v>
      </c>
      <c r="E511" s="16" t="s">
        <v>210</v>
      </c>
      <c r="F511" s="14">
        <f>_xlfn.XLOOKUP(E511,'Pontos de Partida'!B:B,'Pontos de Partida'!A:A)</f>
        <v>4</v>
      </c>
    </row>
    <row r="512" spans="1:6" x14ac:dyDescent="0.3">
      <c r="A512" s="14">
        <f t="shared" si="6"/>
        <v>39</v>
      </c>
      <c r="B512" s="15" t="s">
        <v>198</v>
      </c>
      <c r="C512" s="14">
        <f>_xlfn.XLOOKUP(B512,'Produtos &amp; Marcas'!B:B,'Produtos &amp; Marcas'!A:A)</f>
        <v>6</v>
      </c>
      <c r="D512" s="14">
        <v>3</v>
      </c>
      <c r="E512" s="16" t="s">
        <v>210</v>
      </c>
      <c r="F512" s="14">
        <f>_xlfn.XLOOKUP(E512,'Pontos de Partida'!B:B,'Pontos de Partida'!A:A)</f>
        <v>4</v>
      </c>
    </row>
    <row r="513" spans="1:6" x14ac:dyDescent="0.3">
      <c r="A513" s="14">
        <f t="shared" si="6"/>
        <v>39</v>
      </c>
      <c r="B513" s="15" t="s">
        <v>197</v>
      </c>
      <c r="C513" s="14">
        <f>_xlfn.XLOOKUP(B513,'Produtos &amp; Marcas'!B:B,'Produtos &amp; Marcas'!A:A)</f>
        <v>29</v>
      </c>
      <c r="D513" s="14">
        <v>1</v>
      </c>
      <c r="E513" s="16" t="s">
        <v>210</v>
      </c>
      <c r="F513" s="14">
        <f>_xlfn.XLOOKUP(E513,'Pontos de Partida'!B:B,'Pontos de Partida'!A:A)</f>
        <v>4</v>
      </c>
    </row>
    <row r="514" spans="1:6" x14ac:dyDescent="0.3">
      <c r="A514" s="14">
        <f t="shared" si="6"/>
        <v>39</v>
      </c>
      <c r="B514" s="15" t="s">
        <v>155</v>
      </c>
      <c r="C514" s="14">
        <f>_xlfn.XLOOKUP(B514,'Produtos &amp; Marcas'!B:B,'Produtos &amp; Marcas'!A:A)</f>
        <v>3</v>
      </c>
      <c r="D514" s="14">
        <v>2</v>
      </c>
      <c r="E514" s="16" t="s">
        <v>210</v>
      </c>
      <c r="F514" s="14">
        <f>_xlfn.XLOOKUP(E514,'Pontos de Partida'!B:B,'Pontos de Partida'!A:A)</f>
        <v>4</v>
      </c>
    </row>
    <row r="515" spans="1:6" x14ac:dyDescent="0.3">
      <c r="A515" s="14">
        <f t="shared" si="6"/>
        <v>40</v>
      </c>
      <c r="B515" s="15" t="s">
        <v>153</v>
      </c>
      <c r="C515" s="14">
        <f>_xlfn.XLOOKUP(B515,'Produtos &amp; Marcas'!B:B,'Produtos &amp; Marcas'!A:A)</f>
        <v>13</v>
      </c>
      <c r="D515" s="14">
        <v>1</v>
      </c>
      <c r="E515" s="16" t="s">
        <v>210</v>
      </c>
      <c r="F515" s="14">
        <f>_xlfn.XLOOKUP(E515,'Pontos de Partida'!B:B,'Pontos de Partida'!A:A)</f>
        <v>4</v>
      </c>
    </row>
    <row r="516" spans="1:6" x14ac:dyDescent="0.3">
      <c r="A516" s="14">
        <f t="shared" si="6"/>
        <v>40</v>
      </c>
      <c r="B516" s="15" t="s">
        <v>146</v>
      </c>
      <c r="C516" s="14">
        <f>_xlfn.XLOOKUP(B516,'Produtos &amp; Marcas'!B:B,'Produtos &amp; Marcas'!A:A)</f>
        <v>4</v>
      </c>
      <c r="D516" s="14">
        <v>3</v>
      </c>
      <c r="E516" s="16" t="s">
        <v>210</v>
      </c>
      <c r="F516" s="14">
        <f>_xlfn.XLOOKUP(E516,'Pontos de Partida'!B:B,'Pontos de Partida'!A:A)</f>
        <v>4</v>
      </c>
    </row>
    <row r="517" spans="1:6" x14ac:dyDescent="0.3">
      <c r="A517" s="14">
        <f t="shared" si="6"/>
        <v>40</v>
      </c>
      <c r="B517" s="15" t="s">
        <v>199</v>
      </c>
      <c r="C517" s="14">
        <f>_xlfn.XLOOKUP(B517,'Produtos &amp; Marcas'!B:B,'Produtos &amp; Marcas'!A:A)</f>
        <v>23</v>
      </c>
      <c r="D517" s="14">
        <v>3</v>
      </c>
      <c r="E517" s="16" t="s">
        <v>210</v>
      </c>
      <c r="F517" s="14">
        <f>_xlfn.XLOOKUP(E517,'Pontos de Partida'!B:B,'Pontos de Partida'!A:A)</f>
        <v>4</v>
      </c>
    </row>
    <row r="518" spans="1:6" x14ac:dyDescent="0.3">
      <c r="A518" s="14">
        <f t="shared" si="6"/>
        <v>40</v>
      </c>
      <c r="B518" s="15" t="s">
        <v>200</v>
      </c>
      <c r="C518" s="14">
        <f>_xlfn.XLOOKUP(B518,'Produtos &amp; Marcas'!B:B,'Produtos &amp; Marcas'!A:A)</f>
        <v>27</v>
      </c>
      <c r="D518" s="14">
        <v>2</v>
      </c>
      <c r="E518" s="16" t="s">
        <v>210</v>
      </c>
      <c r="F518" s="14">
        <f>_xlfn.XLOOKUP(E518,'Pontos de Partida'!B:B,'Pontos de Partida'!A:A)</f>
        <v>4</v>
      </c>
    </row>
    <row r="519" spans="1:6" x14ac:dyDescent="0.3">
      <c r="A519" s="14">
        <f t="shared" si="6"/>
        <v>40</v>
      </c>
      <c r="B519" s="15" t="s">
        <v>158</v>
      </c>
      <c r="C519" s="14">
        <f>_xlfn.XLOOKUP(B519,'Produtos &amp; Marcas'!B:B,'Produtos &amp; Marcas'!A:A)</f>
        <v>2</v>
      </c>
      <c r="D519" s="14">
        <v>2</v>
      </c>
      <c r="E519" s="16" t="s">
        <v>210</v>
      </c>
      <c r="F519" s="14">
        <f>_xlfn.XLOOKUP(E519,'Pontos de Partida'!B:B,'Pontos de Partida'!A:A)</f>
        <v>4</v>
      </c>
    </row>
    <row r="520" spans="1:6" x14ac:dyDescent="0.3">
      <c r="A520" s="14">
        <f t="shared" si="6"/>
        <v>41</v>
      </c>
      <c r="B520" s="15" t="s">
        <v>206</v>
      </c>
      <c r="C520" s="14">
        <f>_xlfn.XLOOKUP(B520,'Produtos &amp; Marcas'!B:B,'Produtos &amp; Marcas'!A:A)</f>
        <v>18</v>
      </c>
      <c r="D520" s="14">
        <v>1.5</v>
      </c>
      <c r="E520" s="16" t="s">
        <v>210</v>
      </c>
      <c r="F520" s="14">
        <f>_xlfn.XLOOKUP(E520,'Pontos de Partida'!B:B,'Pontos de Partida'!A:A)</f>
        <v>4</v>
      </c>
    </row>
    <row r="521" spans="1:6" x14ac:dyDescent="0.3">
      <c r="A521" s="14">
        <f t="shared" si="6"/>
        <v>41</v>
      </c>
      <c r="B521" s="15" t="s">
        <v>154</v>
      </c>
      <c r="C521" s="14">
        <f>_xlfn.XLOOKUP(B521,'Produtos &amp; Marcas'!B:B,'Produtos &amp; Marcas'!A:A)</f>
        <v>22</v>
      </c>
      <c r="D521" s="14">
        <v>3</v>
      </c>
      <c r="E521" s="16" t="s">
        <v>210</v>
      </c>
      <c r="F521" s="14">
        <f>_xlfn.XLOOKUP(E521,'Pontos de Partida'!B:B,'Pontos de Partida'!A:A)</f>
        <v>4</v>
      </c>
    </row>
    <row r="522" spans="1:6" x14ac:dyDescent="0.3">
      <c r="A522" s="14">
        <f t="shared" si="6"/>
        <v>41</v>
      </c>
      <c r="B522" s="15" t="s">
        <v>151</v>
      </c>
      <c r="C522" s="14">
        <f>_xlfn.XLOOKUP(B522,'Produtos &amp; Marcas'!B:B,'Produtos &amp; Marcas'!A:A)</f>
        <v>5</v>
      </c>
      <c r="D522" s="14">
        <v>3</v>
      </c>
      <c r="E522" s="16" t="s">
        <v>210</v>
      </c>
      <c r="F522" s="14">
        <f>_xlfn.XLOOKUP(E522,'Pontos de Partida'!B:B,'Pontos de Partida'!A:A)</f>
        <v>4</v>
      </c>
    </row>
    <row r="523" spans="1:6" x14ac:dyDescent="0.3">
      <c r="A523" s="14">
        <f t="shared" si="6"/>
        <v>41</v>
      </c>
      <c r="B523" s="15" t="s">
        <v>190</v>
      </c>
      <c r="C523" s="14">
        <f>_xlfn.XLOOKUP(B523,'Produtos &amp; Marcas'!B:B,'Produtos &amp; Marcas'!A:A)</f>
        <v>19</v>
      </c>
      <c r="D523" s="14">
        <v>1</v>
      </c>
      <c r="E523" s="16" t="s">
        <v>210</v>
      </c>
      <c r="F523" s="14">
        <f>_xlfn.XLOOKUP(E523,'Pontos de Partida'!B:B,'Pontos de Partida'!A:A)</f>
        <v>4</v>
      </c>
    </row>
    <row r="524" spans="1:6" x14ac:dyDescent="0.3">
      <c r="A524" s="14">
        <f t="shared" si="6"/>
        <v>42</v>
      </c>
      <c r="B524" s="15" t="s">
        <v>204</v>
      </c>
      <c r="C524" s="14">
        <f>_xlfn.XLOOKUP(B524,'Produtos &amp; Marcas'!B:B,'Produtos &amp; Marcas'!A:A)</f>
        <v>35</v>
      </c>
      <c r="D524" s="14">
        <v>0.2</v>
      </c>
      <c r="E524" s="16" t="s">
        <v>210</v>
      </c>
      <c r="F524" s="14">
        <f>_xlfn.XLOOKUP(E524,'Pontos de Partida'!B:B,'Pontos de Partida'!A:A)</f>
        <v>4</v>
      </c>
    </row>
    <row r="525" spans="1:6" x14ac:dyDescent="0.3">
      <c r="A525" s="14">
        <f t="shared" si="6"/>
        <v>42</v>
      </c>
      <c r="B525" s="15" t="s">
        <v>203</v>
      </c>
      <c r="C525" s="14">
        <f>_xlfn.XLOOKUP(B525,'Produtos &amp; Marcas'!B:B,'Produtos &amp; Marcas'!A:A)</f>
        <v>30</v>
      </c>
      <c r="D525" s="14">
        <v>1</v>
      </c>
      <c r="E525" s="16" t="s">
        <v>210</v>
      </c>
      <c r="F525" s="14">
        <f>_xlfn.XLOOKUP(E525,'Pontos de Partida'!B:B,'Pontos de Partida'!A:A)</f>
        <v>4</v>
      </c>
    </row>
    <row r="526" spans="1:6" x14ac:dyDescent="0.3">
      <c r="A526" s="14">
        <f t="shared" si="6"/>
        <v>42</v>
      </c>
      <c r="B526" s="15" t="s">
        <v>159</v>
      </c>
      <c r="C526" s="14">
        <f>_xlfn.XLOOKUP(B526,'Produtos &amp; Marcas'!B:B,'Produtos &amp; Marcas'!A:A)</f>
        <v>17</v>
      </c>
      <c r="D526" s="14">
        <v>1.5</v>
      </c>
      <c r="E526" s="16" t="s">
        <v>210</v>
      </c>
      <c r="F526" s="14">
        <f>_xlfn.XLOOKUP(E526,'Pontos de Partida'!B:B,'Pontos de Partida'!A:A)</f>
        <v>4</v>
      </c>
    </row>
    <row r="527" spans="1:6" x14ac:dyDescent="0.3">
      <c r="A527" s="14">
        <f t="shared" ref="A527:A590" si="7">A435+11</f>
        <v>42</v>
      </c>
      <c r="B527" s="15" t="s">
        <v>161</v>
      </c>
      <c r="C527" s="14">
        <f>_xlfn.XLOOKUP(B527,'Produtos &amp; Marcas'!B:B,'Produtos &amp; Marcas'!A:A)</f>
        <v>38</v>
      </c>
      <c r="D527" s="14">
        <v>0.5</v>
      </c>
      <c r="E527" s="16" t="s">
        <v>210</v>
      </c>
      <c r="F527" s="14">
        <f>_xlfn.XLOOKUP(E527,'Pontos de Partida'!B:B,'Pontos de Partida'!A:A)</f>
        <v>4</v>
      </c>
    </row>
    <row r="528" spans="1:6" x14ac:dyDescent="0.3">
      <c r="A528" s="14">
        <f t="shared" si="7"/>
        <v>43</v>
      </c>
      <c r="B528" s="15" t="s">
        <v>156</v>
      </c>
      <c r="C528" s="14">
        <f>_xlfn.XLOOKUP(B528,'Produtos &amp; Marcas'!B:B,'Produtos &amp; Marcas'!A:A)</f>
        <v>12</v>
      </c>
      <c r="D528" s="14">
        <v>0.8</v>
      </c>
      <c r="E528" s="16" t="s">
        <v>210</v>
      </c>
      <c r="F528" s="14">
        <f>_xlfn.XLOOKUP(E528,'Pontos de Partida'!B:B,'Pontos de Partida'!A:A)</f>
        <v>4</v>
      </c>
    </row>
    <row r="529" spans="1:6" x14ac:dyDescent="0.3">
      <c r="A529" s="14">
        <f t="shared" si="7"/>
        <v>43</v>
      </c>
      <c r="B529" s="15" t="s">
        <v>150</v>
      </c>
      <c r="C529" s="14">
        <f>_xlfn.XLOOKUP(B529,'Produtos &amp; Marcas'!B:B,'Produtos &amp; Marcas'!A:A)</f>
        <v>37</v>
      </c>
      <c r="D529" s="14">
        <v>0.5</v>
      </c>
      <c r="E529" s="16" t="s">
        <v>210</v>
      </c>
      <c r="F529" s="14">
        <f>_xlfn.XLOOKUP(E529,'Pontos de Partida'!B:B,'Pontos de Partida'!A:A)</f>
        <v>4</v>
      </c>
    </row>
    <row r="530" spans="1:6" x14ac:dyDescent="0.3">
      <c r="A530" s="14">
        <f t="shared" si="7"/>
        <v>43</v>
      </c>
      <c r="B530" s="15" t="s">
        <v>155</v>
      </c>
      <c r="C530" s="14">
        <f>_xlfn.XLOOKUP(B530,'Produtos &amp; Marcas'!B:B,'Produtos &amp; Marcas'!A:A)</f>
        <v>3</v>
      </c>
      <c r="D530" s="14">
        <v>2</v>
      </c>
      <c r="E530" s="16" t="s">
        <v>210</v>
      </c>
      <c r="F530" s="14">
        <f>_xlfn.XLOOKUP(E530,'Pontos de Partida'!B:B,'Pontos de Partida'!A:A)</f>
        <v>4</v>
      </c>
    </row>
    <row r="531" spans="1:6" x14ac:dyDescent="0.3">
      <c r="A531" s="14">
        <f t="shared" si="7"/>
        <v>43</v>
      </c>
      <c r="B531" s="15" t="s">
        <v>198</v>
      </c>
      <c r="C531" s="14">
        <f>_xlfn.XLOOKUP(B531,'Produtos &amp; Marcas'!B:B,'Produtos &amp; Marcas'!A:A)</f>
        <v>6</v>
      </c>
      <c r="D531" s="14">
        <v>3</v>
      </c>
      <c r="E531" s="16" t="s">
        <v>210</v>
      </c>
      <c r="F531" s="14">
        <f>_xlfn.XLOOKUP(E531,'Pontos de Partida'!B:B,'Pontos de Partida'!A:A)</f>
        <v>4</v>
      </c>
    </row>
    <row r="532" spans="1:6" x14ac:dyDescent="0.3">
      <c r="A532" s="14">
        <f t="shared" si="7"/>
        <v>43</v>
      </c>
      <c r="B532" s="15" t="s">
        <v>194</v>
      </c>
      <c r="C532" s="14">
        <f>_xlfn.XLOOKUP(B532,'Produtos &amp; Marcas'!B:B,'Produtos &amp; Marcas'!A:A)</f>
        <v>32</v>
      </c>
      <c r="D532" s="14">
        <v>1</v>
      </c>
      <c r="E532" s="16" t="s">
        <v>210</v>
      </c>
      <c r="F532" s="14">
        <f>_xlfn.XLOOKUP(E532,'Pontos de Partida'!B:B,'Pontos de Partida'!A:A)</f>
        <v>4</v>
      </c>
    </row>
    <row r="533" spans="1:6" x14ac:dyDescent="0.3">
      <c r="A533" s="14">
        <f t="shared" si="7"/>
        <v>43</v>
      </c>
      <c r="B533" s="15" t="s">
        <v>153</v>
      </c>
      <c r="C533" s="14">
        <f>_xlfn.XLOOKUP(B533,'Produtos &amp; Marcas'!B:B,'Produtos &amp; Marcas'!A:A)</f>
        <v>13</v>
      </c>
      <c r="D533" s="14">
        <v>1</v>
      </c>
      <c r="E533" s="16" t="s">
        <v>210</v>
      </c>
      <c r="F533" s="14">
        <f>_xlfn.XLOOKUP(E533,'Pontos de Partida'!B:B,'Pontos de Partida'!A:A)</f>
        <v>4</v>
      </c>
    </row>
    <row r="534" spans="1:6" x14ac:dyDescent="0.3">
      <c r="A534" s="14">
        <f t="shared" si="7"/>
        <v>43</v>
      </c>
      <c r="B534" s="15" t="s">
        <v>192</v>
      </c>
      <c r="C534" s="14">
        <f>_xlfn.XLOOKUP(B534,'Produtos &amp; Marcas'!B:B,'Produtos &amp; Marcas'!A:A)</f>
        <v>28</v>
      </c>
      <c r="D534" s="14">
        <v>1</v>
      </c>
      <c r="E534" s="16" t="s">
        <v>210</v>
      </c>
      <c r="F534" s="14">
        <f>_xlfn.XLOOKUP(E534,'Pontos de Partida'!B:B,'Pontos de Partida'!A:A)</f>
        <v>4</v>
      </c>
    </row>
    <row r="535" spans="1:6" x14ac:dyDescent="0.3">
      <c r="A535" s="14">
        <f t="shared" si="7"/>
        <v>43</v>
      </c>
      <c r="B535" s="15" t="s">
        <v>193</v>
      </c>
      <c r="C535" s="14">
        <f>_xlfn.XLOOKUP(B535,'Produtos &amp; Marcas'!B:B,'Produtos &amp; Marcas'!A:A)</f>
        <v>34</v>
      </c>
      <c r="D535" s="14">
        <v>0.2</v>
      </c>
      <c r="E535" s="16" t="s">
        <v>210</v>
      </c>
      <c r="F535" s="14">
        <f>_xlfn.XLOOKUP(E535,'Pontos de Partida'!B:B,'Pontos de Partida'!A:A)</f>
        <v>4</v>
      </c>
    </row>
    <row r="536" spans="1:6" x14ac:dyDescent="0.3">
      <c r="A536" s="14">
        <f t="shared" si="7"/>
        <v>43</v>
      </c>
      <c r="B536" s="15" t="s">
        <v>190</v>
      </c>
      <c r="C536" s="14">
        <f>_xlfn.XLOOKUP(B536,'Produtos &amp; Marcas'!B:B,'Produtos &amp; Marcas'!A:A)</f>
        <v>19</v>
      </c>
      <c r="D536" s="14">
        <v>1</v>
      </c>
      <c r="E536" s="16" t="s">
        <v>210</v>
      </c>
      <c r="F536" s="14">
        <f>_xlfn.XLOOKUP(E536,'Pontos de Partida'!B:B,'Pontos de Partida'!A:A)</f>
        <v>4</v>
      </c>
    </row>
    <row r="537" spans="1:6" x14ac:dyDescent="0.3">
      <c r="A537" s="14">
        <f t="shared" si="7"/>
        <v>43</v>
      </c>
      <c r="B537" s="15" t="s">
        <v>200</v>
      </c>
      <c r="C537" s="14">
        <f>_xlfn.XLOOKUP(B537,'Produtos &amp; Marcas'!B:B,'Produtos &amp; Marcas'!A:A)</f>
        <v>27</v>
      </c>
      <c r="D537" s="14">
        <v>2</v>
      </c>
      <c r="E537" s="16" t="s">
        <v>210</v>
      </c>
      <c r="F537" s="14">
        <f>_xlfn.XLOOKUP(E537,'Pontos de Partida'!B:B,'Pontos de Partida'!A:A)</f>
        <v>4</v>
      </c>
    </row>
    <row r="538" spans="1:6" x14ac:dyDescent="0.3">
      <c r="A538" s="14">
        <f t="shared" si="7"/>
        <v>44</v>
      </c>
      <c r="B538" s="15" t="s">
        <v>148</v>
      </c>
      <c r="C538" s="14">
        <f>_xlfn.XLOOKUP(B538,'Produtos &amp; Marcas'!B:B,'Produtos &amp; Marcas'!A:A)</f>
        <v>14</v>
      </c>
      <c r="D538" s="14">
        <v>1</v>
      </c>
      <c r="E538" s="16" t="s">
        <v>210</v>
      </c>
      <c r="F538" s="14">
        <f>_xlfn.XLOOKUP(E538,'Pontos de Partida'!B:B,'Pontos de Partida'!A:A)</f>
        <v>4</v>
      </c>
    </row>
    <row r="539" spans="1:6" x14ac:dyDescent="0.3">
      <c r="A539" s="14">
        <f t="shared" si="7"/>
        <v>44</v>
      </c>
      <c r="B539" s="15" t="s">
        <v>199</v>
      </c>
      <c r="C539" s="14">
        <f>_xlfn.XLOOKUP(B539,'Produtos &amp; Marcas'!B:B,'Produtos &amp; Marcas'!A:A)</f>
        <v>23</v>
      </c>
      <c r="D539" s="14">
        <v>3</v>
      </c>
      <c r="E539" s="16" t="s">
        <v>210</v>
      </c>
      <c r="F539" s="14">
        <f>_xlfn.XLOOKUP(E539,'Pontos de Partida'!B:B,'Pontos de Partida'!A:A)</f>
        <v>4</v>
      </c>
    </row>
    <row r="540" spans="1:6" x14ac:dyDescent="0.3">
      <c r="A540" s="14">
        <f t="shared" si="7"/>
        <v>44</v>
      </c>
      <c r="B540" s="15" t="s">
        <v>207</v>
      </c>
      <c r="C540" s="14">
        <f>_xlfn.XLOOKUP(B540,'Produtos &amp; Marcas'!B:B,'Produtos &amp; Marcas'!A:A)</f>
        <v>36</v>
      </c>
      <c r="D540" s="14">
        <v>0.2</v>
      </c>
      <c r="E540" s="16" t="s">
        <v>210</v>
      </c>
      <c r="F540" s="14">
        <f>_xlfn.XLOOKUP(E540,'Pontos de Partida'!B:B,'Pontos de Partida'!A:A)</f>
        <v>4</v>
      </c>
    </row>
    <row r="541" spans="1:6" x14ac:dyDescent="0.3">
      <c r="A541" s="14">
        <f t="shared" si="7"/>
        <v>44</v>
      </c>
      <c r="B541" s="15" t="s">
        <v>159</v>
      </c>
      <c r="C541" s="14">
        <f>_xlfn.XLOOKUP(B541,'Produtos &amp; Marcas'!B:B,'Produtos &amp; Marcas'!A:A)</f>
        <v>17</v>
      </c>
      <c r="D541" s="14">
        <v>1.5</v>
      </c>
      <c r="E541" s="16" t="s">
        <v>210</v>
      </c>
      <c r="F541" s="14">
        <f>_xlfn.XLOOKUP(E541,'Pontos de Partida'!B:B,'Pontos de Partida'!A:A)</f>
        <v>4</v>
      </c>
    </row>
    <row r="542" spans="1:6" x14ac:dyDescent="0.3">
      <c r="A542" s="14">
        <f t="shared" si="7"/>
        <v>44</v>
      </c>
      <c r="B542" s="15" t="s">
        <v>189</v>
      </c>
      <c r="C542" s="14">
        <f>_xlfn.XLOOKUP(B542,'Produtos &amp; Marcas'!B:B,'Produtos &amp; Marcas'!A:A)</f>
        <v>8</v>
      </c>
      <c r="D542" s="14">
        <v>0.4</v>
      </c>
      <c r="E542" s="16" t="s">
        <v>210</v>
      </c>
      <c r="F542" s="14">
        <f>_xlfn.XLOOKUP(E542,'Pontos de Partida'!B:B,'Pontos de Partida'!A:A)</f>
        <v>4</v>
      </c>
    </row>
    <row r="543" spans="1:6" x14ac:dyDescent="0.3">
      <c r="A543" s="14">
        <f t="shared" si="7"/>
        <v>44</v>
      </c>
      <c r="B543" s="15" t="s">
        <v>197</v>
      </c>
      <c r="C543" s="14">
        <f>_xlfn.XLOOKUP(B543,'Produtos &amp; Marcas'!B:B,'Produtos &amp; Marcas'!A:A)</f>
        <v>29</v>
      </c>
      <c r="D543" s="14">
        <v>1</v>
      </c>
      <c r="E543" s="16" t="s">
        <v>210</v>
      </c>
      <c r="F543" s="14">
        <f>_xlfn.XLOOKUP(E543,'Pontos de Partida'!B:B,'Pontos de Partida'!A:A)</f>
        <v>4</v>
      </c>
    </row>
    <row r="544" spans="1:6" x14ac:dyDescent="0.3">
      <c r="A544" s="14">
        <f t="shared" si="7"/>
        <v>44</v>
      </c>
      <c r="B544" s="15" t="s">
        <v>200</v>
      </c>
      <c r="C544" s="14">
        <f>_xlfn.XLOOKUP(B544,'Produtos &amp; Marcas'!B:B,'Produtos &amp; Marcas'!A:A)</f>
        <v>27</v>
      </c>
      <c r="D544" s="14">
        <v>2</v>
      </c>
      <c r="E544" s="16" t="s">
        <v>210</v>
      </c>
      <c r="F544" s="14">
        <f>_xlfn.XLOOKUP(E544,'Pontos de Partida'!B:B,'Pontos de Partida'!A:A)</f>
        <v>4</v>
      </c>
    </row>
    <row r="545" spans="1:6" x14ac:dyDescent="0.3">
      <c r="A545" s="14">
        <f t="shared" si="7"/>
        <v>44</v>
      </c>
      <c r="B545" s="15" t="s">
        <v>158</v>
      </c>
      <c r="C545" s="14">
        <f>_xlfn.XLOOKUP(B545,'Produtos &amp; Marcas'!B:B,'Produtos &amp; Marcas'!A:A)</f>
        <v>2</v>
      </c>
      <c r="D545" s="14">
        <v>2</v>
      </c>
      <c r="E545" s="16" t="s">
        <v>210</v>
      </c>
      <c r="F545" s="14">
        <f>_xlfn.XLOOKUP(E545,'Pontos de Partida'!B:B,'Pontos de Partida'!A:A)</f>
        <v>4</v>
      </c>
    </row>
    <row r="546" spans="1:6" x14ac:dyDescent="0.3">
      <c r="A546" s="14">
        <f t="shared" si="7"/>
        <v>45</v>
      </c>
      <c r="B546" s="15" t="s">
        <v>198</v>
      </c>
      <c r="C546" s="14">
        <f>_xlfn.XLOOKUP(B546,'Produtos &amp; Marcas'!B:B,'Produtos &amp; Marcas'!A:A)</f>
        <v>6</v>
      </c>
      <c r="D546" s="14">
        <v>3</v>
      </c>
      <c r="E546" s="16" t="s">
        <v>211</v>
      </c>
      <c r="F546" s="14">
        <f>_xlfn.XLOOKUP(E546,'Pontos de Partida'!B:B,'Pontos de Partida'!A:A)</f>
        <v>5</v>
      </c>
    </row>
    <row r="547" spans="1:6" x14ac:dyDescent="0.3">
      <c r="A547" s="14">
        <f t="shared" si="7"/>
        <v>45</v>
      </c>
      <c r="B547" s="15" t="s">
        <v>155</v>
      </c>
      <c r="C547" s="14">
        <f>_xlfn.XLOOKUP(B547,'Produtos &amp; Marcas'!B:B,'Produtos &amp; Marcas'!A:A)</f>
        <v>3</v>
      </c>
      <c r="D547" s="14">
        <v>2</v>
      </c>
      <c r="E547" s="16" t="s">
        <v>211</v>
      </c>
      <c r="F547" s="14">
        <f>_xlfn.XLOOKUP(E547,'Pontos de Partida'!B:B,'Pontos de Partida'!A:A)</f>
        <v>5</v>
      </c>
    </row>
    <row r="548" spans="1:6" x14ac:dyDescent="0.3">
      <c r="A548" s="14">
        <f t="shared" si="7"/>
        <v>45</v>
      </c>
      <c r="B548" s="15" t="s">
        <v>152</v>
      </c>
      <c r="C548" s="14">
        <f>_xlfn.XLOOKUP(B548,'Produtos &amp; Marcas'!B:B,'Produtos &amp; Marcas'!A:A)</f>
        <v>9</v>
      </c>
      <c r="D548" s="14">
        <v>0.4</v>
      </c>
      <c r="E548" s="16" t="s">
        <v>211</v>
      </c>
      <c r="F548" s="14">
        <f>_xlfn.XLOOKUP(E548,'Pontos de Partida'!B:B,'Pontos de Partida'!A:A)</f>
        <v>5</v>
      </c>
    </row>
    <row r="549" spans="1:6" x14ac:dyDescent="0.3">
      <c r="A549" s="14">
        <f t="shared" si="7"/>
        <v>45</v>
      </c>
      <c r="B549" s="15" t="s">
        <v>156</v>
      </c>
      <c r="C549" s="14">
        <f>_xlfn.XLOOKUP(B549,'Produtos &amp; Marcas'!B:B,'Produtos &amp; Marcas'!A:A)</f>
        <v>12</v>
      </c>
      <c r="D549" s="14">
        <v>0.8</v>
      </c>
      <c r="E549" s="16" t="s">
        <v>211</v>
      </c>
      <c r="F549" s="14">
        <f>_xlfn.XLOOKUP(E549,'Pontos de Partida'!B:B,'Pontos de Partida'!A:A)</f>
        <v>5</v>
      </c>
    </row>
    <row r="550" spans="1:6" x14ac:dyDescent="0.3">
      <c r="A550" s="14">
        <f t="shared" si="7"/>
        <v>45</v>
      </c>
      <c r="B550" s="15" t="s">
        <v>153</v>
      </c>
      <c r="C550" s="14">
        <f>_xlfn.XLOOKUP(B550,'Produtos &amp; Marcas'!B:B,'Produtos &amp; Marcas'!A:A)</f>
        <v>13</v>
      </c>
      <c r="D550" s="14">
        <v>1</v>
      </c>
      <c r="E550" s="16" t="s">
        <v>211</v>
      </c>
      <c r="F550" s="14">
        <f>_xlfn.XLOOKUP(E550,'Pontos de Partida'!B:B,'Pontos de Partida'!A:A)</f>
        <v>5</v>
      </c>
    </row>
    <row r="551" spans="1:6" x14ac:dyDescent="0.3">
      <c r="A551" s="14">
        <f t="shared" si="7"/>
        <v>45</v>
      </c>
      <c r="B551" s="15" t="s">
        <v>157</v>
      </c>
      <c r="C551" s="14">
        <f>_xlfn.XLOOKUP(B551,'Produtos &amp; Marcas'!B:B,'Produtos &amp; Marcas'!A:A)</f>
        <v>16</v>
      </c>
      <c r="D551" s="14">
        <v>1.5</v>
      </c>
      <c r="E551" s="16" t="s">
        <v>211</v>
      </c>
      <c r="F551" s="14">
        <f>_xlfn.XLOOKUP(E551,'Pontos de Partida'!B:B,'Pontos de Partida'!A:A)</f>
        <v>5</v>
      </c>
    </row>
    <row r="552" spans="1:6" x14ac:dyDescent="0.3">
      <c r="A552" s="14">
        <f t="shared" si="7"/>
        <v>45</v>
      </c>
      <c r="B552" s="15" t="s">
        <v>190</v>
      </c>
      <c r="C552" s="14">
        <f>_xlfn.XLOOKUP(B552,'Produtos &amp; Marcas'!B:B,'Produtos &amp; Marcas'!A:A)</f>
        <v>19</v>
      </c>
      <c r="D552" s="14">
        <v>1</v>
      </c>
      <c r="E552" s="16" t="s">
        <v>211</v>
      </c>
      <c r="F552" s="14">
        <f>_xlfn.XLOOKUP(E552,'Pontos de Partida'!B:B,'Pontos de Partida'!A:A)</f>
        <v>5</v>
      </c>
    </row>
    <row r="553" spans="1:6" x14ac:dyDescent="0.3">
      <c r="A553" s="14">
        <f t="shared" si="7"/>
        <v>45</v>
      </c>
      <c r="B553" s="15" t="s">
        <v>199</v>
      </c>
      <c r="C553" s="14">
        <f>_xlfn.XLOOKUP(B553,'Produtos &amp; Marcas'!B:B,'Produtos &amp; Marcas'!A:A)</f>
        <v>23</v>
      </c>
      <c r="D553" s="14">
        <v>3</v>
      </c>
      <c r="E553" s="16" t="s">
        <v>211</v>
      </c>
      <c r="F553" s="14">
        <f>_xlfn.XLOOKUP(E553,'Pontos de Partida'!B:B,'Pontos de Partida'!A:A)</f>
        <v>5</v>
      </c>
    </row>
    <row r="554" spans="1:6" x14ac:dyDescent="0.3">
      <c r="A554" s="14">
        <f t="shared" si="7"/>
        <v>45</v>
      </c>
      <c r="B554" s="15" t="s">
        <v>200</v>
      </c>
      <c r="C554" s="14">
        <f>_xlfn.XLOOKUP(B554,'Produtos &amp; Marcas'!B:B,'Produtos &amp; Marcas'!A:A)</f>
        <v>27</v>
      </c>
      <c r="D554" s="14">
        <v>2</v>
      </c>
      <c r="E554" s="16" t="s">
        <v>211</v>
      </c>
      <c r="F554" s="14">
        <f>_xlfn.XLOOKUP(E554,'Pontos de Partida'!B:B,'Pontos de Partida'!A:A)</f>
        <v>5</v>
      </c>
    </row>
    <row r="555" spans="1:6" x14ac:dyDescent="0.3">
      <c r="A555" s="14">
        <f t="shared" si="7"/>
        <v>45</v>
      </c>
      <c r="B555" s="15" t="s">
        <v>192</v>
      </c>
      <c r="C555" s="14">
        <f>_xlfn.XLOOKUP(B555,'Produtos &amp; Marcas'!B:B,'Produtos &amp; Marcas'!A:A)</f>
        <v>28</v>
      </c>
      <c r="D555" s="14">
        <v>1</v>
      </c>
      <c r="E555" s="16" t="s">
        <v>211</v>
      </c>
      <c r="F555" s="14">
        <f>_xlfn.XLOOKUP(E555,'Pontos de Partida'!B:B,'Pontos de Partida'!A:A)</f>
        <v>5</v>
      </c>
    </row>
    <row r="556" spans="1:6" x14ac:dyDescent="0.3">
      <c r="A556" s="14">
        <f t="shared" si="7"/>
        <v>45</v>
      </c>
      <c r="B556" s="15" t="s">
        <v>193</v>
      </c>
      <c r="C556" s="14">
        <f>_xlfn.XLOOKUP(B556,'Produtos &amp; Marcas'!B:B,'Produtos &amp; Marcas'!A:A)</f>
        <v>34</v>
      </c>
      <c r="D556" s="14">
        <v>0.2</v>
      </c>
      <c r="E556" s="16" t="s">
        <v>211</v>
      </c>
      <c r="F556" s="14">
        <f>_xlfn.XLOOKUP(E556,'Pontos de Partida'!B:B,'Pontos de Partida'!A:A)</f>
        <v>5</v>
      </c>
    </row>
    <row r="557" spans="1:6" x14ac:dyDescent="0.3">
      <c r="A557" s="14">
        <f t="shared" si="7"/>
        <v>45</v>
      </c>
      <c r="B557" s="15" t="s">
        <v>150</v>
      </c>
      <c r="C557" s="14">
        <f>_xlfn.XLOOKUP(B557,'Produtos &amp; Marcas'!B:B,'Produtos &amp; Marcas'!A:A)</f>
        <v>37</v>
      </c>
      <c r="D557" s="14">
        <v>0.5</v>
      </c>
      <c r="E557" s="16" t="s">
        <v>211</v>
      </c>
      <c r="F557" s="14">
        <f>_xlfn.XLOOKUP(E557,'Pontos de Partida'!B:B,'Pontos de Partida'!A:A)</f>
        <v>5</v>
      </c>
    </row>
    <row r="558" spans="1:6" x14ac:dyDescent="0.3">
      <c r="A558" s="14">
        <f t="shared" si="7"/>
        <v>45</v>
      </c>
      <c r="B558" s="15" t="s">
        <v>194</v>
      </c>
      <c r="C558" s="14">
        <f>_xlfn.XLOOKUP(B558,'Produtos &amp; Marcas'!B:B,'Produtos &amp; Marcas'!A:A)</f>
        <v>32</v>
      </c>
      <c r="D558" s="14">
        <v>1</v>
      </c>
      <c r="E558" s="16" t="s">
        <v>211</v>
      </c>
      <c r="F558" s="14">
        <f>_xlfn.XLOOKUP(E558,'Pontos de Partida'!B:B,'Pontos de Partida'!A:A)</f>
        <v>5</v>
      </c>
    </row>
    <row r="559" spans="1:6" x14ac:dyDescent="0.3">
      <c r="A559" s="14">
        <f t="shared" si="7"/>
        <v>46</v>
      </c>
      <c r="B559" s="15" t="s">
        <v>146</v>
      </c>
      <c r="C559" s="14">
        <f>_xlfn.XLOOKUP(B559,'Produtos &amp; Marcas'!B:B,'Produtos &amp; Marcas'!A:A)</f>
        <v>4</v>
      </c>
      <c r="D559" s="14">
        <v>3</v>
      </c>
      <c r="E559" s="16" t="s">
        <v>211</v>
      </c>
      <c r="F559" s="14">
        <f>_xlfn.XLOOKUP(E559,'Pontos de Partida'!B:B,'Pontos de Partida'!A:A)</f>
        <v>5</v>
      </c>
    </row>
    <row r="560" spans="1:6" x14ac:dyDescent="0.3">
      <c r="A560" s="14">
        <f t="shared" si="7"/>
        <v>46</v>
      </c>
      <c r="B560" s="15" t="s">
        <v>158</v>
      </c>
      <c r="C560" s="14">
        <f>_xlfn.XLOOKUP(B560,'Produtos &amp; Marcas'!B:B,'Produtos &amp; Marcas'!A:A)</f>
        <v>2</v>
      </c>
      <c r="D560" s="14">
        <v>2</v>
      </c>
      <c r="E560" s="16" t="s">
        <v>211</v>
      </c>
      <c r="F560" s="14">
        <f>_xlfn.XLOOKUP(E560,'Pontos de Partida'!B:B,'Pontos de Partida'!A:A)</f>
        <v>5</v>
      </c>
    </row>
    <row r="561" spans="1:6" x14ac:dyDescent="0.3">
      <c r="A561" s="14">
        <f t="shared" si="7"/>
        <v>46</v>
      </c>
      <c r="B561" s="15" t="s">
        <v>189</v>
      </c>
      <c r="C561" s="14">
        <f>_xlfn.XLOOKUP(B561,'Produtos &amp; Marcas'!B:B,'Produtos &amp; Marcas'!A:A)</f>
        <v>8</v>
      </c>
      <c r="D561" s="14">
        <v>0.4</v>
      </c>
      <c r="E561" s="16" t="s">
        <v>211</v>
      </c>
      <c r="F561" s="14">
        <f>_xlfn.XLOOKUP(E561,'Pontos de Partida'!B:B,'Pontos de Partida'!A:A)</f>
        <v>5</v>
      </c>
    </row>
    <row r="562" spans="1:6" x14ac:dyDescent="0.3">
      <c r="A562" s="14">
        <f t="shared" si="7"/>
        <v>46</v>
      </c>
      <c r="B562" s="15" t="s">
        <v>147</v>
      </c>
      <c r="C562" s="14">
        <f>_xlfn.XLOOKUP(B562,'Produtos &amp; Marcas'!B:B,'Produtos &amp; Marcas'!A:A)</f>
        <v>11</v>
      </c>
      <c r="D562" s="14">
        <v>0.8</v>
      </c>
      <c r="E562" s="16" t="s">
        <v>211</v>
      </c>
      <c r="F562" s="14">
        <f>_xlfn.XLOOKUP(E562,'Pontos de Partida'!B:B,'Pontos de Partida'!A:A)</f>
        <v>5</v>
      </c>
    </row>
    <row r="563" spans="1:6" x14ac:dyDescent="0.3">
      <c r="A563" s="14">
        <f t="shared" si="7"/>
        <v>46</v>
      </c>
      <c r="B563" s="15" t="s">
        <v>201</v>
      </c>
      <c r="C563" s="14">
        <f>_xlfn.XLOOKUP(B563,'Produtos &amp; Marcas'!B:B,'Produtos &amp; Marcas'!A:A)</f>
        <v>15</v>
      </c>
      <c r="D563" s="14">
        <v>1</v>
      </c>
      <c r="E563" s="16" t="s">
        <v>211</v>
      </c>
      <c r="F563" s="14">
        <f>_xlfn.XLOOKUP(E563,'Pontos de Partida'!B:B,'Pontos de Partida'!A:A)</f>
        <v>5</v>
      </c>
    </row>
    <row r="564" spans="1:6" x14ac:dyDescent="0.3">
      <c r="A564" s="14">
        <f t="shared" si="7"/>
        <v>46</v>
      </c>
      <c r="B564" s="15" t="s">
        <v>159</v>
      </c>
      <c r="C564" s="14">
        <f>_xlfn.XLOOKUP(B564,'Produtos &amp; Marcas'!B:B,'Produtos &amp; Marcas'!A:A)</f>
        <v>17</v>
      </c>
      <c r="D564" s="14">
        <v>1.5</v>
      </c>
      <c r="E564" s="16" t="s">
        <v>211</v>
      </c>
      <c r="F564" s="14">
        <f>_xlfn.XLOOKUP(E564,'Pontos de Partida'!B:B,'Pontos de Partida'!A:A)</f>
        <v>5</v>
      </c>
    </row>
    <row r="565" spans="1:6" x14ac:dyDescent="0.3">
      <c r="A565" s="14">
        <f t="shared" si="7"/>
        <v>46</v>
      </c>
      <c r="B565" s="15" t="s">
        <v>202</v>
      </c>
      <c r="C565" s="14">
        <f>_xlfn.XLOOKUP(B565,'Produtos &amp; Marcas'!B:B,'Produtos &amp; Marcas'!A:A)</f>
        <v>20</v>
      </c>
      <c r="D565" s="14">
        <v>1</v>
      </c>
      <c r="E565" s="16" t="s">
        <v>211</v>
      </c>
      <c r="F565" s="14">
        <f>_xlfn.XLOOKUP(E565,'Pontos de Partida'!B:B,'Pontos de Partida'!A:A)</f>
        <v>5</v>
      </c>
    </row>
    <row r="566" spans="1:6" x14ac:dyDescent="0.3">
      <c r="A566" s="14">
        <f t="shared" si="7"/>
        <v>46</v>
      </c>
      <c r="B566" s="15" t="s">
        <v>154</v>
      </c>
      <c r="C566" s="14">
        <f>_xlfn.XLOOKUP(B566,'Produtos &amp; Marcas'!B:B,'Produtos &amp; Marcas'!A:A)</f>
        <v>22</v>
      </c>
      <c r="D566" s="14">
        <v>3</v>
      </c>
      <c r="E566" s="16" t="s">
        <v>211</v>
      </c>
      <c r="F566" s="14">
        <f>_xlfn.XLOOKUP(E566,'Pontos de Partida'!B:B,'Pontos de Partida'!A:A)</f>
        <v>5</v>
      </c>
    </row>
    <row r="567" spans="1:6" x14ac:dyDescent="0.3">
      <c r="A567" s="14">
        <f t="shared" si="7"/>
        <v>46</v>
      </c>
      <c r="B567" s="15" t="s">
        <v>160</v>
      </c>
      <c r="C567" s="14">
        <f>_xlfn.XLOOKUP(B567,'Produtos &amp; Marcas'!B:B,'Produtos &amp; Marcas'!A:A)</f>
        <v>25</v>
      </c>
      <c r="D567" s="14">
        <v>2</v>
      </c>
      <c r="E567" s="16" t="s">
        <v>211</v>
      </c>
      <c r="F567" s="14">
        <f>_xlfn.XLOOKUP(E567,'Pontos de Partida'!B:B,'Pontos de Partida'!A:A)</f>
        <v>5</v>
      </c>
    </row>
    <row r="568" spans="1:6" x14ac:dyDescent="0.3">
      <c r="A568" s="14">
        <f t="shared" si="7"/>
        <v>46</v>
      </c>
      <c r="B568" s="15" t="s">
        <v>203</v>
      </c>
      <c r="C568" s="14">
        <f>_xlfn.XLOOKUP(B568,'Produtos &amp; Marcas'!B:B,'Produtos &amp; Marcas'!A:A)</f>
        <v>30</v>
      </c>
      <c r="D568" s="14">
        <v>1</v>
      </c>
      <c r="E568" s="16" t="s">
        <v>211</v>
      </c>
      <c r="F568" s="14">
        <f>_xlfn.XLOOKUP(E568,'Pontos de Partida'!B:B,'Pontos de Partida'!A:A)</f>
        <v>5</v>
      </c>
    </row>
    <row r="569" spans="1:6" x14ac:dyDescent="0.3">
      <c r="A569" s="14">
        <f t="shared" si="7"/>
        <v>46</v>
      </c>
      <c r="B569" s="15" t="s">
        <v>204</v>
      </c>
      <c r="C569" s="14">
        <f>_xlfn.XLOOKUP(B569,'Produtos &amp; Marcas'!B:B,'Produtos &amp; Marcas'!A:A)</f>
        <v>35</v>
      </c>
      <c r="D569" s="14">
        <v>0.2</v>
      </c>
      <c r="E569" s="16" t="s">
        <v>211</v>
      </c>
      <c r="F569" s="14">
        <f>_xlfn.XLOOKUP(E569,'Pontos de Partida'!B:B,'Pontos de Partida'!A:A)</f>
        <v>5</v>
      </c>
    </row>
    <row r="570" spans="1:6" x14ac:dyDescent="0.3">
      <c r="A570" s="14">
        <f t="shared" si="7"/>
        <v>46</v>
      </c>
      <c r="B570" s="15" t="s">
        <v>161</v>
      </c>
      <c r="C570" s="14">
        <f>_xlfn.XLOOKUP(B570,'Produtos &amp; Marcas'!B:B,'Produtos &amp; Marcas'!A:A)</f>
        <v>38</v>
      </c>
      <c r="D570" s="14">
        <v>0.5</v>
      </c>
      <c r="E570" s="16" t="s">
        <v>211</v>
      </c>
      <c r="F570" s="14">
        <f>_xlfn.XLOOKUP(E570,'Pontos de Partida'!B:B,'Pontos de Partida'!A:A)</f>
        <v>5</v>
      </c>
    </row>
    <row r="571" spans="1:6" x14ac:dyDescent="0.3">
      <c r="A571" s="14">
        <f t="shared" si="7"/>
        <v>46</v>
      </c>
      <c r="B571" s="15" t="s">
        <v>205</v>
      </c>
      <c r="C571" s="14">
        <f>_xlfn.XLOOKUP(B571,'Produtos &amp; Marcas'!B:B,'Produtos &amp; Marcas'!A:A)</f>
        <v>31</v>
      </c>
      <c r="D571" s="14">
        <v>1</v>
      </c>
      <c r="E571" s="16" t="s">
        <v>211</v>
      </c>
      <c r="F571" s="14">
        <f>_xlfn.XLOOKUP(E571,'Pontos de Partida'!B:B,'Pontos de Partida'!A:A)</f>
        <v>5</v>
      </c>
    </row>
    <row r="572" spans="1:6" x14ac:dyDescent="0.3">
      <c r="A572" s="14">
        <f t="shared" si="7"/>
        <v>47</v>
      </c>
      <c r="B572" s="15" t="s">
        <v>151</v>
      </c>
      <c r="C572" s="14">
        <f>_xlfn.XLOOKUP(B572,'Produtos &amp; Marcas'!B:B,'Produtos &amp; Marcas'!A:A)</f>
        <v>5</v>
      </c>
      <c r="D572" s="14">
        <v>3</v>
      </c>
      <c r="E572" s="16" t="s">
        <v>211</v>
      </c>
      <c r="F572" s="14">
        <f>_xlfn.XLOOKUP(E572,'Pontos de Partida'!B:B,'Pontos de Partida'!A:A)</f>
        <v>5</v>
      </c>
    </row>
    <row r="573" spans="1:6" x14ac:dyDescent="0.3">
      <c r="A573" s="14">
        <f t="shared" si="7"/>
        <v>47</v>
      </c>
      <c r="B573" s="15" t="s">
        <v>162</v>
      </c>
      <c r="C573" s="14">
        <f>_xlfn.XLOOKUP(B573,'Produtos &amp; Marcas'!B:B,'Produtos &amp; Marcas'!A:A)</f>
        <v>1</v>
      </c>
      <c r="D573" s="14">
        <v>2</v>
      </c>
      <c r="E573" s="16" t="s">
        <v>211</v>
      </c>
      <c r="F573" s="14">
        <f>_xlfn.XLOOKUP(E573,'Pontos de Partida'!B:B,'Pontos de Partida'!A:A)</f>
        <v>5</v>
      </c>
    </row>
    <row r="574" spans="1:6" x14ac:dyDescent="0.3">
      <c r="A574" s="14">
        <f t="shared" si="7"/>
        <v>47</v>
      </c>
      <c r="B574" s="15" t="s">
        <v>152</v>
      </c>
      <c r="C574" s="14">
        <f>_xlfn.XLOOKUP(B574,'Produtos &amp; Marcas'!B:B,'Produtos &amp; Marcas'!A:A)</f>
        <v>9</v>
      </c>
      <c r="D574" s="14">
        <v>0.4</v>
      </c>
      <c r="E574" s="16" t="s">
        <v>211</v>
      </c>
      <c r="F574" s="14">
        <f>_xlfn.XLOOKUP(E574,'Pontos de Partida'!B:B,'Pontos de Partida'!A:A)</f>
        <v>5</v>
      </c>
    </row>
    <row r="575" spans="1:6" x14ac:dyDescent="0.3">
      <c r="A575" s="14">
        <f t="shared" si="7"/>
        <v>47</v>
      </c>
      <c r="B575" s="15" t="s">
        <v>147</v>
      </c>
      <c r="C575" s="14">
        <f>_xlfn.XLOOKUP(B575,'Produtos &amp; Marcas'!B:B,'Produtos &amp; Marcas'!A:A)</f>
        <v>11</v>
      </c>
      <c r="D575" s="14">
        <v>0.8</v>
      </c>
      <c r="E575" s="16" t="s">
        <v>211</v>
      </c>
      <c r="F575" s="14">
        <f>_xlfn.XLOOKUP(E575,'Pontos de Partida'!B:B,'Pontos de Partida'!A:A)</f>
        <v>5</v>
      </c>
    </row>
    <row r="576" spans="1:6" x14ac:dyDescent="0.3">
      <c r="A576" s="14">
        <f t="shared" si="7"/>
        <v>47</v>
      </c>
      <c r="B576" s="15" t="s">
        <v>148</v>
      </c>
      <c r="C576" s="14">
        <f>_xlfn.XLOOKUP(B576,'Produtos &amp; Marcas'!B:B,'Produtos &amp; Marcas'!A:A)</f>
        <v>14</v>
      </c>
      <c r="D576" s="14">
        <v>1</v>
      </c>
      <c r="E576" s="16" t="s">
        <v>211</v>
      </c>
      <c r="F576" s="14">
        <f>_xlfn.XLOOKUP(E576,'Pontos de Partida'!B:B,'Pontos de Partida'!A:A)</f>
        <v>5</v>
      </c>
    </row>
    <row r="577" spans="1:6" x14ac:dyDescent="0.3">
      <c r="A577" s="14">
        <f t="shared" si="7"/>
        <v>47</v>
      </c>
      <c r="B577" s="15" t="s">
        <v>206</v>
      </c>
      <c r="C577" s="14">
        <f>_xlfn.XLOOKUP(B577,'Produtos &amp; Marcas'!B:B,'Produtos &amp; Marcas'!A:A)</f>
        <v>18</v>
      </c>
      <c r="D577" s="14">
        <v>1.5</v>
      </c>
      <c r="E577" s="16" t="s">
        <v>211</v>
      </c>
      <c r="F577" s="14">
        <f>_xlfn.XLOOKUP(E577,'Pontos de Partida'!B:B,'Pontos de Partida'!A:A)</f>
        <v>5</v>
      </c>
    </row>
    <row r="578" spans="1:6" x14ac:dyDescent="0.3">
      <c r="A578" s="14">
        <f t="shared" si="7"/>
        <v>47</v>
      </c>
      <c r="B578" s="15" t="s">
        <v>195</v>
      </c>
      <c r="C578" s="14">
        <f>_xlfn.XLOOKUP(B578,'Produtos &amp; Marcas'!B:B,'Produtos &amp; Marcas'!A:A)</f>
        <v>21</v>
      </c>
      <c r="D578" s="14">
        <v>1</v>
      </c>
      <c r="E578" s="16" t="s">
        <v>211</v>
      </c>
      <c r="F578" s="14">
        <f>_xlfn.XLOOKUP(E578,'Pontos de Partida'!B:B,'Pontos de Partida'!A:A)</f>
        <v>5</v>
      </c>
    </row>
    <row r="579" spans="1:6" x14ac:dyDescent="0.3">
      <c r="A579" s="14">
        <f t="shared" si="7"/>
        <v>47</v>
      </c>
      <c r="B579" s="15" t="s">
        <v>199</v>
      </c>
      <c r="C579" s="14">
        <f>_xlfn.XLOOKUP(B579,'Produtos &amp; Marcas'!B:B,'Produtos &amp; Marcas'!A:A)</f>
        <v>23</v>
      </c>
      <c r="D579" s="14">
        <v>3</v>
      </c>
      <c r="E579" s="16" t="s">
        <v>211</v>
      </c>
      <c r="F579" s="14">
        <f>_xlfn.XLOOKUP(E579,'Pontos de Partida'!B:B,'Pontos de Partida'!A:A)</f>
        <v>5</v>
      </c>
    </row>
    <row r="580" spans="1:6" x14ac:dyDescent="0.3">
      <c r="A580" s="14">
        <f t="shared" si="7"/>
        <v>47</v>
      </c>
      <c r="B580" s="15" t="s">
        <v>200</v>
      </c>
      <c r="C580" s="14">
        <f>_xlfn.XLOOKUP(B580,'Produtos &amp; Marcas'!B:B,'Produtos &amp; Marcas'!A:A)</f>
        <v>27</v>
      </c>
      <c r="D580" s="14">
        <v>2</v>
      </c>
      <c r="E580" s="16" t="s">
        <v>211</v>
      </c>
      <c r="F580" s="14">
        <f>_xlfn.XLOOKUP(E580,'Pontos de Partida'!B:B,'Pontos de Partida'!A:A)</f>
        <v>5</v>
      </c>
    </row>
    <row r="581" spans="1:6" x14ac:dyDescent="0.3">
      <c r="A581" s="14">
        <f t="shared" si="7"/>
        <v>47</v>
      </c>
      <c r="B581" s="15" t="s">
        <v>197</v>
      </c>
      <c r="C581" s="14">
        <f>_xlfn.XLOOKUP(B581,'Produtos &amp; Marcas'!B:B,'Produtos &amp; Marcas'!A:A)</f>
        <v>29</v>
      </c>
      <c r="D581" s="14">
        <v>1</v>
      </c>
      <c r="E581" s="16" t="s">
        <v>211</v>
      </c>
      <c r="F581" s="14">
        <f>_xlfn.XLOOKUP(E581,'Pontos de Partida'!B:B,'Pontos de Partida'!A:A)</f>
        <v>5</v>
      </c>
    </row>
    <row r="582" spans="1:6" x14ac:dyDescent="0.3">
      <c r="A582" s="14">
        <f t="shared" si="7"/>
        <v>47</v>
      </c>
      <c r="B582" s="15" t="s">
        <v>207</v>
      </c>
      <c r="C582" s="14">
        <f>_xlfn.XLOOKUP(B582,'Produtos &amp; Marcas'!B:B,'Produtos &amp; Marcas'!A:A)</f>
        <v>36</v>
      </c>
      <c r="D582" s="14">
        <v>0.2</v>
      </c>
      <c r="E582" s="16" t="s">
        <v>211</v>
      </c>
      <c r="F582" s="14">
        <f>_xlfn.XLOOKUP(E582,'Pontos de Partida'!B:B,'Pontos de Partida'!A:A)</f>
        <v>5</v>
      </c>
    </row>
    <row r="583" spans="1:6" x14ac:dyDescent="0.3">
      <c r="A583" s="14">
        <f t="shared" si="7"/>
        <v>47</v>
      </c>
      <c r="B583" s="15" t="s">
        <v>208</v>
      </c>
      <c r="C583" s="14">
        <f>_xlfn.XLOOKUP(B583,'Produtos &amp; Marcas'!B:B,'Produtos &amp; Marcas'!A:A)</f>
        <v>39</v>
      </c>
      <c r="D583" s="14">
        <v>0.5</v>
      </c>
      <c r="E583" s="16" t="s">
        <v>211</v>
      </c>
      <c r="F583" s="14">
        <f>_xlfn.XLOOKUP(E583,'Pontos de Partida'!B:B,'Pontos de Partida'!A:A)</f>
        <v>5</v>
      </c>
    </row>
    <row r="584" spans="1:6" x14ac:dyDescent="0.3">
      <c r="A584" s="14">
        <f t="shared" si="7"/>
        <v>47</v>
      </c>
      <c r="B584" s="15" t="s">
        <v>194</v>
      </c>
      <c r="C584" s="14">
        <f>_xlfn.XLOOKUP(B584,'Produtos &amp; Marcas'!B:B,'Produtos &amp; Marcas'!A:A)</f>
        <v>32</v>
      </c>
      <c r="D584" s="14">
        <v>1</v>
      </c>
      <c r="E584" s="16" t="s">
        <v>211</v>
      </c>
      <c r="F584" s="14">
        <f>_xlfn.XLOOKUP(E584,'Pontos de Partida'!B:B,'Pontos de Partida'!A:A)</f>
        <v>5</v>
      </c>
    </row>
    <row r="585" spans="1:6" x14ac:dyDescent="0.3">
      <c r="A585" s="14">
        <f t="shared" si="7"/>
        <v>48</v>
      </c>
      <c r="B585" s="15" t="s">
        <v>193</v>
      </c>
      <c r="C585" s="14">
        <f>_xlfn.XLOOKUP(B585,'Produtos &amp; Marcas'!B:B,'Produtos &amp; Marcas'!A:A)</f>
        <v>34</v>
      </c>
      <c r="D585" s="14">
        <v>0.2</v>
      </c>
      <c r="E585" s="16" t="s">
        <v>211</v>
      </c>
      <c r="F585" s="14">
        <f>_xlfn.XLOOKUP(E585,'Pontos de Partida'!B:B,'Pontos de Partida'!A:A)</f>
        <v>5</v>
      </c>
    </row>
    <row r="586" spans="1:6" x14ac:dyDescent="0.3">
      <c r="A586" s="14">
        <f t="shared" si="7"/>
        <v>48</v>
      </c>
      <c r="B586" s="15" t="s">
        <v>158</v>
      </c>
      <c r="C586" s="14">
        <f>_xlfn.XLOOKUP(B586,'Produtos &amp; Marcas'!B:B,'Produtos &amp; Marcas'!A:A)</f>
        <v>2</v>
      </c>
      <c r="D586" s="14">
        <v>2</v>
      </c>
      <c r="E586" s="16" t="s">
        <v>211</v>
      </c>
      <c r="F586" s="14">
        <f>_xlfn.XLOOKUP(E586,'Pontos de Partida'!B:B,'Pontos de Partida'!A:A)</f>
        <v>5</v>
      </c>
    </row>
    <row r="587" spans="1:6" x14ac:dyDescent="0.3">
      <c r="A587" s="14">
        <f t="shared" si="7"/>
        <v>48</v>
      </c>
      <c r="B587" s="15" t="s">
        <v>146</v>
      </c>
      <c r="C587" s="14">
        <f>_xlfn.XLOOKUP(B587,'Produtos &amp; Marcas'!B:B,'Produtos &amp; Marcas'!A:A)</f>
        <v>4</v>
      </c>
      <c r="D587" s="14">
        <v>3</v>
      </c>
      <c r="E587" s="16" t="s">
        <v>211</v>
      </c>
      <c r="F587" s="14">
        <f>_xlfn.XLOOKUP(E587,'Pontos de Partida'!B:B,'Pontos de Partida'!A:A)</f>
        <v>5</v>
      </c>
    </row>
    <row r="588" spans="1:6" x14ac:dyDescent="0.3">
      <c r="A588" s="14">
        <f t="shared" si="7"/>
        <v>49</v>
      </c>
      <c r="B588" s="15" t="s">
        <v>147</v>
      </c>
      <c r="C588" s="14">
        <f>_xlfn.XLOOKUP(B588,'Produtos &amp; Marcas'!B:B,'Produtos &amp; Marcas'!A:A)</f>
        <v>11</v>
      </c>
      <c r="D588" s="14">
        <v>0.8</v>
      </c>
      <c r="E588" s="16" t="s">
        <v>211</v>
      </c>
      <c r="F588" s="14">
        <f>_xlfn.XLOOKUP(E588,'Pontos de Partida'!B:B,'Pontos de Partida'!A:A)</f>
        <v>5</v>
      </c>
    </row>
    <row r="589" spans="1:6" x14ac:dyDescent="0.3">
      <c r="A589" s="14">
        <f t="shared" si="7"/>
        <v>49</v>
      </c>
      <c r="B589" s="15" t="s">
        <v>163</v>
      </c>
      <c r="C589" s="14">
        <f>_xlfn.XLOOKUP(B589,'Produtos &amp; Marcas'!B:B,'Produtos &amp; Marcas'!A:A)</f>
        <v>7</v>
      </c>
      <c r="D589" s="14">
        <v>0.4</v>
      </c>
      <c r="E589" s="16" t="s">
        <v>211</v>
      </c>
      <c r="F589" s="14">
        <f>_xlfn.XLOOKUP(E589,'Pontos de Partida'!B:B,'Pontos de Partida'!A:A)</f>
        <v>5</v>
      </c>
    </row>
    <row r="590" spans="1:6" x14ac:dyDescent="0.3">
      <c r="A590" s="14">
        <f t="shared" si="7"/>
        <v>49</v>
      </c>
      <c r="B590" s="15" t="s">
        <v>162</v>
      </c>
      <c r="C590" s="14">
        <f>_xlfn.XLOOKUP(B590,'Produtos &amp; Marcas'!B:B,'Produtos &amp; Marcas'!A:A)</f>
        <v>1</v>
      </c>
      <c r="D590" s="14">
        <v>2</v>
      </c>
      <c r="E590" s="16" t="s">
        <v>211</v>
      </c>
      <c r="F590" s="14">
        <f>_xlfn.XLOOKUP(E590,'Pontos de Partida'!B:B,'Pontos de Partida'!A:A)</f>
        <v>5</v>
      </c>
    </row>
    <row r="591" spans="1:6" x14ac:dyDescent="0.3">
      <c r="A591" s="14">
        <f t="shared" ref="A591:A654" si="8">A499+11</f>
        <v>49</v>
      </c>
      <c r="B591" s="15" t="s">
        <v>160</v>
      </c>
      <c r="C591" s="14">
        <f>_xlfn.XLOOKUP(B591,'Produtos &amp; Marcas'!B:B,'Produtos &amp; Marcas'!A:A)</f>
        <v>25</v>
      </c>
      <c r="D591" s="14">
        <v>2</v>
      </c>
      <c r="E591" s="16" t="s">
        <v>211</v>
      </c>
      <c r="F591" s="14">
        <f>_xlfn.XLOOKUP(E591,'Pontos de Partida'!B:B,'Pontos de Partida'!A:A)</f>
        <v>5</v>
      </c>
    </row>
    <row r="592" spans="1:6" x14ac:dyDescent="0.3">
      <c r="A592" s="14">
        <f t="shared" si="8"/>
        <v>49</v>
      </c>
      <c r="B592" s="15" t="s">
        <v>204</v>
      </c>
      <c r="C592" s="14">
        <f>_xlfn.XLOOKUP(B592,'Produtos &amp; Marcas'!B:B,'Produtos &amp; Marcas'!A:A)</f>
        <v>35</v>
      </c>
      <c r="D592" s="14">
        <v>0.2</v>
      </c>
      <c r="E592" s="16" t="s">
        <v>211</v>
      </c>
      <c r="F592" s="14">
        <f>_xlfn.XLOOKUP(E592,'Pontos de Partida'!B:B,'Pontos de Partida'!A:A)</f>
        <v>5</v>
      </c>
    </row>
    <row r="593" spans="1:6" x14ac:dyDescent="0.3">
      <c r="A593" s="14">
        <f t="shared" si="8"/>
        <v>49</v>
      </c>
      <c r="B593" s="15" t="s">
        <v>190</v>
      </c>
      <c r="C593" s="14">
        <f>_xlfn.XLOOKUP(B593,'Produtos &amp; Marcas'!B:B,'Produtos &amp; Marcas'!A:A)</f>
        <v>19</v>
      </c>
      <c r="D593" s="14">
        <v>1</v>
      </c>
      <c r="E593" s="16" t="s">
        <v>211</v>
      </c>
      <c r="F593" s="14">
        <f>_xlfn.XLOOKUP(E593,'Pontos de Partida'!B:B,'Pontos de Partida'!A:A)</f>
        <v>5</v>
      </c>
    </row>
    <row r="594" spans="1:6" x14ac:dyDescent="0.3">
      <c r="A594" s="14">
        <f t="shared" si="8"/>
        <v>49</v>
      </c>
      <c r="B594" s="15" t="s">
        <v>146</v>
      </c>
      <c r="C594" s="14">
        <f>_xlfn.XLOOKUP(B594,'Produtos &amp; Marcas'!B:B,'Produtos &amp; Marcas'!A:A)</f>
        <v>4</v>
      </c>
      <c r="D594" s="14">
        <v>3</v>
      </c>
      <c r="E594" s="16" t="s">
        <v>211</v>
      </c>
      <c r="F594" s="14">
        <f>_xlfn.XLOOKUP(E594,'Pontos de Partida'!B:B,'Pontos de Partida'!A:A)</f>
        <v>5</v>
      </c>
    </row>
    <row r="595" spans="1:6" x14ac:dyDescent="0.3">
      <c r="A595" s="14">
        <f t="shared" si="8"/>
        <v>50</v>
      </c>
      <c r="B595" s="15" t="s">
        <v>160</v>
      </c>
      <c r="C595" s="14">
        <f>_xlfn.XLOOKUP(B595,'Produtos &amp; Marcas'!B:B,'Produtos &amp; Marcas'!A:A)</f>
        <v>25</v>
      </c>
      <c r="D595" s="14">
        <v>2</v>
      </c>
      <c r="E595" s="16" t="s">
        <v>211</v>
      </c>
      <c r="F595" s="14">
        <f>_xlfn.XLOOKUP(E595,'Pontos de Partida'!B:B,'Pontos de Partida'!A:A)</f>
        <v>5</v>
      </c>
    </row>
    <row r="596" spans="1:6" x14ac:dyDescent="0.3">
      <c r="A596" s="14">
        <f t="shared" si="8"/>
        <v>50</v>
      </c>
      <c r="B596" s="15" t="s">
        <v>196</v>
      </c>
      <c r="C596" s="14">
        <f>_xlfn.XLOOKUP(B596,'Produtos &amp; Marcas'!B:B,'Produtos &amp; Marcas'!A:A)</f>
        <v>10</v>
      </c>
      <c r="D596" s="14">
        <v>0.8</v>
      </c>
      <c r="E596" s="16" t="s">
        <v>211</v>
      </c>
      <c r="F596" s="14">
        <f>_xlfn.XLOOKUP(E596,'Pontos de Partida'!B:B,'Pontos de Partida'!A:A)</f>
        <v>5</v>
      </c>
    </row>
    <row r="597" spans="1:6" x14ac:dyDescent="0.3">
      <c r="A597" s="14">
        <f t="shared" si="8"/>
        <v>50</v>
      </c>
      <c r="B597" s="15" t="s">
        <v>204</v>
      </c>
      <c r="C597" s="14">
        <f>_xlfn.XLOOKUP(B597,'Produtos &amp; Marcas'!B:B,'Produtos &amp; Marcas'!A:A)</f>
        <v>35</v>
      </c>
      <c r="D597" s="14">
        <v>0.2</v>
      </c>
      <c r="E597" s="16" t="s">
        <v>211</v>
      </c>
      <c r="F597" s="14">
        <f>_xlfn.XLOOKUP(E597,'Pontos de Partida'!B:B,'Pontos de Partida'!A:A)</f>
        <v>5</v>
      </c>
    </row>
    <row r="598" spans="1:6" x14ac:dyDescent="0.3">
      <c r="A598" s="14">
        <f t="shared" si="8"/>
        <v>50</v>
      </c>
      <c r="B598" s="15" t="s">
        <v>194</v>
      </c>
      <c r="C598" s="14">
        <f>_xlfn.XLOOKUP(B598,'Produtos &amp; Marcas'!B:B,'Produtos &amp; Marcas'!A:A)</f>
        <v>32</v>
      </c>
      <c r="D598" s="14">
        <v>1</v>
      </c>
      <c r="E598" s="16" t="s">
        <v>211</v>
      </c>
      <c r="F598" s="14">
        <f>_xlfn.XLOOKUP(E598,'Pontos de Partida'!B:B,'Pontos de Partida'!A:A)</f>
        <v>5</v>
      </c>
    </row>
    <row r="599" spans="1:6" x14ac:dyDescent="0.3">
      <c r="A599" s="14">
        <f t="shared" si="8"/>
        <v>50</v>
      </c>
      <c r="B599" s="15" t="s">
        <v>195</v>
      </c>
      <c r="C599" s="14">
        <f>_xlfn.XLOOKUP(B599,'Produtos &amp; Marcas'!B:B,'Produtos &amp; Marcas'!A:A)</f>
        <v>21</v>
      </c>
      <c r="D599" s="14">
        <v>1</v>
      </c>
      <c r="E599" s="16" t="s">
        <v>211</v>
      </c>
      <c r="F599" s="14">
        <f>_xlfn.XLOOKUP(E599,'Pontos de Partida'!B:B,'Pontos de Partida'!A:A)</f>
        <v>5</v>
      </c>
    </row>
    <row r="600" spans="1:6" x14ac:dyDescent="0.3">
      <c r="A600" s="14">
        <f t="shared" si="8"/>
        <v>50</v>
      </c>
      <c r="B600" s="15" t="s">
        <v>161</v>
      </c>
      <c r="C600" s="14">
        <f>_xlfn.XLOOKUP(B600,'Produtos &amp; Marcas'!B:B,'Produtos &amp; Marcas'!A:A)</f>
        <v>38</v>
      </c>
      <c r="D600" s="14">
        <v>0.5</v>
      </c>
      <c r="E600" s="16" t="s">
        <v>211</v>
      </c>
      <c r="F600" s="14">
        <f>_xlfn.XLOOKUP(E600,'Pontos de Partida'!B:B,'Pontos de Partida'!A:A)</f>
        <v>5</v>
      </c>
    </row>
    <row r="601" spans="1:6" x14ac:dyDescent="0.3">
      <c r="A601" s="14">
        <f t="shared" si="8"/>
        <v>50</v>
      </c>
      <c r="B601" s="15" t="s">
        <v>191</v>
      </c>
      <c r="C601" s="14">
        <f>_xlfn.XLOOKUP(B601,'Produtos &amp; Marcas'!B:B,'Produtos &amp; Marcas'!A:A)</f>
        <v>24</v>
      </c>
      <c r="D601" s="14">
        <v>3</v>
      </c>
      <c r="E601" s="16" t="s">
        <v>211</v>
      </c>
      <c r="F601" s="14">
        <f>_xlfn.XLOOKUP(E601,'Pontos de Partida'!B:B,'Pontos de Partida'!A:A)</f>
        <v>5</v>
      </c>
    </row>
    <row r="602" spans="1:6" x14ac:dyDescent="0.3">
      <c r="A602" s="14">
        <f t="shared" si="8"/>
        <v>50</v>
      </c>
      <c r="B602" s="15" t="s">
        <v>153</v>
      </c>
      <c r="C602" s="14">
        <f>_xlfn.XLOOKUP(B602,'Produtos &amp; Marcas'!B:B,'Produtos &amp; Marcas'!A:A)</f>
        <v>13</v>
      </c>
      <c r="D602" s="14">
        <v>1</v>
      </c>
      <c r="E602" s="16" t="s">
        <v>211</v>
      </c>
      <c r="F602" s="14">
        <f>_xlfn.XLOOKUP(E602,'Pontos de Partida'!B:B,'Pontos de Partida'!A:A)</f>
        <v>5</v>
      </c>
    </row>
    <row r="603" spans="1:6" x14ac:dyDescent="0.3">
      <c r="A603" s="14">
        <f t="shared" si="8"/>
        <v>50</v>
      </c>
      <c r="B603" s="15" t="s">
        <v>163</v>
      </c>
      <c r="C603" s="14">
        <f>_xlfn.XLOOKUP(B603,'Produtos &amp; Marcas'!B:B,'Produtos &amp; Marcas'!A:A)</f>
        <v>7</v>
      </c>
      <c r="D603" s="14">
        <v>0.4</v>
      </c>
      <c r="E603" s="16" t="s">
        <v>211</v>
      </c>
      <c r="F603" s="14">
        <f>_xlfn.XLOOKUP(E603,'Pontos de Partida'!B:B,'Pontos de Partida'!A:A)</f>
        <v>5</v>
      </c>
    </row>
    <row r="604" spans="1:6" x14ac:dyDescent="0.3">
      <c r="A604" s="14">
        <f t="shared" si="8"/>
        <v>50</v>
      </c>
      <c r="B604" s="15" t="s">
        <v>198</v>
      </c>
      <c r="C604" s="14">
        <f>_xlfn.XLOOKUP(B604,'Produtos &amp; Marcas'!B:B,'Produtos &amp; Marcas'!A:A)</f>
        <v>6</v>
      </c>
      <c r="D604" s="14">
        <v>3</v>
      </c>
      <c r="E604" s="16" t="s">
        <v>211</v>
      </c>
      <c r="F604" s="14">
        <f>_xlfn.XLOOKUP(E604,'Pontos de Partida'!B:B,'Pontos de Partida'!A:A)</f>
        <v>5</v>
      </c>
    </row>
    <row r="605" spans="1:6" x14ac:dyDescent="0.3">
      <c r="A605" s="14">
        <f t="shared" si="8"/>
        <v>50</v>
      </c>
      <c r="B605" s="15" t="s">
        <v>197</v>
      </c>
      <c r="C605" s="14">
        <f>_xlfn.XLOOKUP(B605,'Produtos &amp; Marcas'!B:B,'Produtos &amp; Marcas'!A:A)</f>
        <v>29</v>
      </c>
      <c r="D605" s="14">
        <v>1</v>
      </c>
      <c r="E605" s="16" t="s">
        <v>211</v>
      </c>
      <c r="F605" s="14">
        <f>_xlfn.XLOOKUP(E605,'Pontos de Partida'!B:B,'Pontos de Partida'!A:A)</f>
        <v>5</v>
      </c>
    </row>
    <row r="606" spans="1:6" x14ac:dyDescent="0.3">
      <c r="A606" s="14">
        <f t="shared" si="8"/>
        <v>50</v>
      </c>
      <c r="B606" s="15" t="s">
        <v>155</v>
      </c>
      <c r="C606" s="14">
        <f>_xlfn.XLOOKUP(B606,'Produtos &amp; Marcas'!B:B,'Produtos &amp; Marcas'!A:A)</f>
        <v>3</v>
      </c>
      <c r="D606" s="14">
        <v>2</v>
      </c>
      <c r="E606" s="16" t="s">
        <v>211</v>
      </c>
      <c r="F606" s="14">
        <f>_xlfn.XLOOKUP(E606,'Pontos de Partida'!B:B,'Pontos de Partida'!A:A)</f>
        <v>5</v>
      </c>
    </row>
    <row r="607" spans="1:6" x14ac:dyDescent="0.3">
      <c r="A607" s="14">
        <f t="shared" si="8"/>
        <v>51</v>
      </c>
      <c r="B607" s="15" t="s">
        <v>153</v>
      </c>
      <c r="C607" s="14">
        <f>_xlfn.XLOOKUP(B607,'Produtos &amp; Marcas'!B:B,'Produtos &amp; Marcas'!A:A)</f>
        <v>13</v>
      </c>
      <c r="D607" s="14">
        <v>1</v>
      </c>
      <c r="E607" s="16" t="s">
        <v>211</v>
      </c>
      <c r="F607" s="14">
        <f>_xlfn.XLOOKUP(E607,'Pontos de Partida'!B:B,'Pontos de Partida'!A:A)</f>
        <v>5</v>
      </c>
    </row>
    <row r="608" spans="1:6" x14ac:dyDescent="0.3">
      <c r="A608" s="14">
        <f t="shared" si="8"/>
        <v>51</v>
      </c>
      <c r="B608" s="15" t="s">
        <v>146</v>
      </c>
      <c r="C608" s="14">
        <f>_xlfn.XLOOKUP(B608,'Produtos &amp; Marcas'!B:B,'Produtos &amp; Marcas'!A:A)</f>
        <v>4</v>
      </c>
      <c r="D608" s="14">
        <v>3</v>
      </c>
      <c r="E608" s="16" t="s">
        <v>211</v>
      </c>
      <c r="F608" s="14">
        <f>_xlfn.XLOOKUP(E608,'Pontos de Partida'!B:B,'Pontos de Partida'!A:A)</f>
        <v>5</v>
      </c>
    </row>
    <row r="609" spans="1:6" x14ac:dyDescent="0.3">
      <c r="A609" s="14">
        <f t="shared" si="8"/>
        <v>51</v>
      </c>
      <c r="B609" s="15" t="s">
        <v>199</v>
      </c>
      <c r="C609" s="14">
        <f>_xlfn.XLOOKUP(B609,'Produtos &amp; Marcas'!B:B,'Produtos &amp; Marcas'!A:A)</f>
        <v>23</v>
      </c>
      <c r="D609" s="14">
        <v>3</v>
      </c>
      <c r="E609" s="16" t="s">
        <v>211</v>
      </c>
      <c r="F609" s="14">
        <f>_xlfn.XLOOKUP(E609,'Pontos de Partida'!B:B,'Pontos de Partida'!A:A)</f>
        <v>5</v>
      </c>
    </row>
    <row r="610" spans="1:6" x14ac:dyDescent="0.3">
      <c r="A610" s="14">
        <f t="shared" si="8"/>
        <v>51</v>
      </c>
      <c r="B610" s="15" t="s">
        <v>200</v>
      </c>
      <c r="C610" s="14">
        <f>_xlfn.XLOOKUP(B610,'Produtos &amp; Marcas'!B:B,'Produtos &amp; Marcas'!A:A)</f>
        <v>27</v>
      </c>
      <c r="D610" s="14">
        <v>2</v>
      </c>
      <c r="E610" s="16" t="s">
        <v>211</v>
      </c>
      <c r="F610" s="14">
        <f>_xlfn.XLOOKUP(E610,'Pontos de Partida'!B:B,'Pontos de Partida'!A:A)</f>
        <v>5</v>
      </c>
    </row>
    <row r="611" spans="1:6" x14ac:dyDescent="0.3">
      <c r="A611" s="14">
        <f t="shared" si="8"/>
        <v>51</v>
      </c>
      <c r="B611" s="15" t="s">
        <v>158</v>
      </c>
      <c r="C611" s="14">
        <f>_xlfn.XLOOKUP(B611,'Produtos &amp; Marcas'!B:B,'Produtos &amp; Marcas'!A:A)</f>
        <v>2</v>
      </c>
      <c r="D611" s="14">
        <v>2</v>
      </c>
      <c r="E611" s="16" t="s">
        <v>211</v>
      </c>
      <c r="F611" s="14">
        <f>_xlfn.XLOOKUP(E611,'Pontos de Partida'!B:B,'Pontos de Partida'!A:A)</f>
        <v>5</v>
      </c>
    </row>
    <row r="612" spans="1:6" x14ac:dyDescent="0.3">
      <c r="A612" s="14">
        <f t="shared" si="8"/>
        <v>52</v>
      </c>
      <c r="B612" s="15" t="s">
        <v>206</v>
      </c>
      <c r="C612" s="14">
        <f>_xlfn.XLOOKUP(B612,'Produtos &amp; Marcas'!B:B,'Produtos &amp; Marcas'!A:A)</f>
        <v>18</v>
      </c>
      <c r="D612" s="14">
        <v>1.5</v>
      </c>
      <c r="E612" s="16" t="s">
        <v>211</v>
      </c>
      <c r="F612" s="14">
        <f>_xlfn.XLOOKUP(E612,'Pontos de Partida'!B:B,'Pontos de Partida'!A:A)</f>
        <v>5</v>
      </c>
    </row>
    <row r="613" spans="1:6" x14ac:dyDescent="0.3">
      <c r="A613" s="14">
        <f t="shared" si="8"/>
        <v>52</v>
      </c>
      <c r="B613" s="15" t="s">
        <v>154</v>
      </c>
      <c r="C613" s="14">
        <f>_xlfn.XLOOKUP(B613,'Produtos &amp; Marcas'!B:B,'Produtos &amp; Marcas'!A:A)</f>
        <v>22</v>
      </c>
      <c r="D613" s="14">
        <v>3</v>
      </c>
      <c r="E613" s="16" t="s">
        <v>211</v>
      </c>
      <c r="F613" s="14">
        <f>_xlfn.XLOOKUP(E613,'Pontos de Partida'!B:B,'Pontos de Partida'!A:A)</f>
        <v>5</v>
      </c>
    </row>
    <row r="614" spans="1:6" x14ac:dyDescent="0.3">
      <c r="A614" s="14">
        <f t="shared" si="8"/>
        <v>52</v>
      </c>
      <c r="B614" s="15" t="s">
        <v>151</v>
      </c>
      <c r="C614" s="14">
        <f>_xlfn.XLOOKUP(B614,'Produtos &amp; Marcas'!B:B,'Produtos &amp; Marcas'!A:A)</f>
        <v>5</v>
      </c>
      <c r="D614" s="14">
        <v>3</v>
      </c>
      <c r="E614" s="16" t="s">
        <v>211</v>
      </c>
      <c r="F614" s="14">
        <f>_xlfn.XLOOKUP(E614,'Pontos de Partida'!B:B,'Pontos de Partida'!A:A)</f>
        <v>5</v>
      </c>
    </row>
    <row r="615" spans="1:6" x14ac:dyDescent="0.3">
      <c r="A615" s="14">
        <f t="shared" si="8"/>
        <v>52</v>
      </c>
      <c r="B615" s="15" t="s">
        <v>190</v>
      </c>
      <c r="C615" s="14">
        <f>_xlfn.XLOOKUP(B615,'Produtos &amp; Marcas'!B:B,'Produtos &amp; Marcas'!A:A)</f>
        <v>19</v>
      </c>
      <c r="D615" s="14">
        <v>1</v>
      </c>
      <c r="E615" s="16" t="s">
        <v>211</v>
      </c>
      <c r="F615" s="14">
        <f>_xlfn.XLOOKUP(E615,'Pontos de Partida'!B:B,'Pontos de Partida'!A:A)</f>
        <v>5</v>
      </c>
    </row>
    <row r="616" spans="1:6" x14ac:dyDescent="0.3">
      <c r="A616" s="14">
        <f t="shared" si="8"/>
        <v>53</v>
      </c>
      <c r="B616" s="15" t="s">
        <v>204</v>
      </c>
      <c r="C616" s="14">
        <f>_xlfn.XLOOKUP(B616,'Produtos &amp; Marcas'!B:B,'Produtos &amp; Marcas'!A:A)</f>
        <v>35</v>
      </c>
      <c r="D616" s="14">
        <v>0.2</v>
      </c>
      <c r="E616" s="16" t="s">
        <v>211</v>
      </c>
      <c r="F616" s="14">
        <f>_xlfn.XLOOKUP(E616,'Pontos de Partida'!B:B,'Pontos de Partida'!A:A)</f>
        <v>5</v>
      </c>
    </row>
    <row r="617" spans="1:6" x14ac:dyDescent="0.3">
      <c r="A617" s="14">
        <f t="shared" si="8"/>
        <v>53</v>
      </c>
      <c r="B617" s="15" t="s">
        <v>203</v>
      </c>
      <c r="C617" s="14">
        <f>_xlfn.XLOOKUP(B617,'Produtos &amp; Marcas'!B:B,'Produtos &amp; Marcas'!A:A)</f>
        <v>30</v>
      </c>
      <c r="D617" s="14">
        <v>1</v>
      </c>
      <c r="E617" s="16" t="s">
        <v>211</v>
      </c>
      <c r="F617" s="14">
        <f>_xlfn.XLOOKUP(E617,'Pontos de Partida'!B:B,'Pontos de Partida'!A:A)</f>
        <v>5</v>
      </c>
    </row>
    <row r="618" spans="1:6" x14ac:dyDescent="0.3">
      <c r="A618" s="14">
        <f t="shared" si="8"/>
        <v>53</v>
      </c>
      <c r="B618" s="15" t="s">
        <v>159</v>
      </c>
      <c r="C618" s="14">
        <f>_xlfn.XLOOKUP(B618,'Produtos &amp; Marcas'!B:B,'Produtos &amp; Marcas'!A:A)</f>
        <v>17</v>
      </c>
      <c r="D618" s="14">
        <v>1.5</v>
      </c>
      <c r="E618" s="16" t="s">
        <v>211</v>
      </c>
      <c r="F618" s="14">
        <f>_xlfn.XLOOKUP(E618,'Pontos de Partida'!B:B,'Pontos de Partida'!A:A)</f>
        <v>5</v>
      </c>
    </row>
    <row r="619" spans="1:6" x14ac:dyDescent="0.3">
      <c r="A619" s="14">
        <f t="shared" si="8"/>
        <v>53</v>
      </c>
      <c r="B619" s="15" t="s">
        <v>161</v>
      </c>
      <c r="C619" s="14">
        <f>_xlfn.XLOOKUP(B619,'Produtos &amp; Marcas'!B:B,'Produtos &amp; Marcas'!A:A)</f>
        <v>38</v>
      </c>
      <c r="D619" s="14">
        <v>0.5</v>
      </c>
      <c r="E619" s="16" t="s">
        <v>211</v>
      </c>
      <c r="F619" s="14">
        <f>_xlfn.XLOOKUP(E619,'Pontos de Partida'!B:B,'Pontos de Partida'!A:A)</f>
        <v>5</v>
      </c>
    </row>
    <row r="620" spans="1:6" x14ac:dyDescent="0.3">
      <c r="A620" s="14">
        <f t="shared" si="8"/>
        <v>54</v>
      </c>
      <c r="B620" s="15" t="s">
        <v>156</v>
      </c>
      <c r="C620" s="14">
        <f>_xlfn.XLOOKUP(B620,'Produtos &amp; Marcas'!B:B,'Produtos &amp; Marcas'!A:A)</f>
        <v>12</v>
      </c>
      <c r="D620" s="14">
        <v>0.8</v>
      </c>
      <c r="E620" s="16" t="s">
        <v>211</v>
      </c>
      <c r="F620" s="14">
        <f>_xlfn.XLOOKUP(E620,'Pontos de Partida'!B:B,'Pontos de Partida'!A:A)</f>
        <v>5</v>
      </c>
    </row>
    <row r="621" spans="1:6" x14ac:dyDescent="0.3">
      <c r="A621" s="14">
        <f t="shared" si="8"/>
        <v>54</v>
      </c>
      <c r="B621" s="15" t="s">
        <v>150</v>
      </c>
      <c r="C621" s="14">
        <f>_xlfn.XLOOKUP(B621,'Produtos &amp; Marcas'!B:B,'Produtos &amp; Marcas'!A:A)</f>
        <v>37</v>
      </c>
      <c r="D621" s="14">
        <v>0.5</v>
      </c>
      <c r="E621" s="16" t="s">
        <v>211</v>
      </c>
      <c r="F621" s="14">
        <f>_xlfn.XLOOKUP(E621,'Pontos de Partida'!B:B,'Pontos de Partida'!A:A)</f>
        <v>5</v>
      </c>
    </row>
    <row r="622" spans="1:6" x14ac:dyDescent="0.3">
      <c r="A622" s="14">
        <f t="shared" si="8"/>
        <v>54</v>
      </c>
      <c r="B622" s="15" t="s">
        <v>155</v>
      </c>
      <c r="C622" s="14">
        <f>_xlfn.XLOOKUP(B622,'Produtos &amp; Marcas'!B:B,'Produtos &amp; Marcas'!A:A)</f>
        <v>3</v>
      </c>
      <c r="D622" s="14">
        <v>2</v>
      </c>
      <c r="E622" s="16" t="s">
        <v>211</v>
      </c>
      <c r="F622" s="14">
        <f>_xlfn.XLOOKUP(E622,'Pontos de Partida'!B:B,'Pontos de Partida'!A:A)</f>
        <v>5</v>
      </c>
    </row>
    <row r="623" spans="1:6" x14ac:dyDescent="0.3">
      <c r="A623" s="14">
        <f t="shared" si="8"/>
        <v>54</v>
      </c>
      <c r="B623" s="15" t="s">
        <v>198</v>
      </c>
      <c r="C623" s="14">
        <f>_xlfn.XLOOKUP(B623,'Produtos &amp; Marcas'!B:B,'Produtos &amp; Marcas'!A:A)</f>
        <v>6</v>
      </c>
      <c r="D623" s="14">
        <v>3</v>
      </c>
      <c r="E623" s="16" t="s">
        <v>211</v>
      </c>
      <c r="F623" s="14">
        <f>_xlfn.XLOOKUP(E623,'Pontos de Partida'!B:B,'Pontos de Partida'!A:A)</f>
        <v>5</v>
      </c>
    </row>
    <row r="624" spans="1:6" x14ac:dyDescent="0.3">
      <c r="A624" s="14">
        <f t="shared" si="8"/>
        <v>54</v>
      </c>
      <c r="B624" s="15" t="s">
        <v>194</v>
      </c>
      <c r="C624" s="14">
        <f>_xlfn.XLOOKUP(B624,'Produtos &amp; Marcas'!B:B,'Produtos &amp; Marcas'!A:A)</f>
        <v>32</v>
      </c>
      <c r="D624" s="14">
        <v>1</v>
      </c>
      <c r="E624" s="16" t="s">
        <v>211</v>
      </c>
      <c r="F624" s="14">
        <f>_xlfn.XLOOKUP(E624,'Pontos de Partida'!B:B,'Pontos de Partida'!A:A)</f>
        <v>5</v>
      </c>
    </row>
    <row r="625" spans="1:6" x14ac:dyDescent="0.3">
      <c r="A625" s="14">
        <f t="shared" si="8"/>
        <v>54</v>
      </c>
      <c r="B625" s="15" t="s">
        <v>153</v>
      </c>
      <c r="C625" s="14">
        <f>_xlfn.XLOOKUP(B625,'Produtos &amp; Marcas'!B:B,'Produtos &amp; Marcas'!A:A)</f>
        <v>13</v>
      </c>
      <c r="D625" s="14">
        <v>1</v>
      </c>
      <c r="E625" s="16" t="s">
        <v>211</v>
      </c>
      <c r="F625" s="14">
        <f>_xlfn.XLOOKUP(E625,'Pontos de Partida'!B:B,'Pontos de Partida'!A:A)</f>
        <v>5</v>
      </c>
    </row>
    <row r="626" spans="1:6" x14ac:dyDescent="0.3">
      <c r="A626" s="14">
        <f t="shared" si="8"/>
        <v>54</v>
      </c>
      <c r="B626" s="15" t="s">
        <v>192</v>
      </c>
      <c r="C626" s="14">
        <f>_xlfn.XLOOKUP(B626,'Produtos &amp; Marcas'!B:B,'Produtos &amp; Marcas'!A:A)</f>
        <v>28</v>
      </c>
      <c r="D626" s="14">
        <v>1</v>
      </c>
      <c r="E626" s="16" t="s">
        <v>211</v>
      </c>
      <c r="F626" s="14">
        <f>_xlfn.XLOOKUP(E626,'Pontos de Partida'!B:B,'Pontos de Partida'!A:A)</f>
        <v>5</v>
      </c>
    </row>
    <row r="627" spans="1:6" x14ac:dyDescent="0.3">
      <c r="A627" s="14">
        <f t="shared" si="8"/>
        <v>54</v>
      </c>
      <c r="B627" s="15" t="s">
        <v>193</v>
      </c>
      <c r="C627" s="14">
        <f>_xlfn.XLOOKUP(B627,'Produtos &amp; Marcas'!B:B,'Produtos &amp; Marcas'!A:A)</f>
        <v>34</v>
      </c>
      <c r="D627" s="14">
        <v>0.2</v>
      </c>
      <c r="E627" s="16" t="s">
        <v>211</v>
      </c>
      <c r="F627" s="14">
        <f>_xlfn.XLOOKUP(E627,'Pontos de Partida'!B:B,'Pontos de Partida'!A:A)</f>
        <v>5</v>
      </c>
    </row>
    <row r="628" spans="1:6" x14ac:dyDescent="0.3">
      <c r="A628" s="14">
        <f t="shared" si="8"/>
        <v>54</v>
      </c>
      <c r="B628" s="15" t="s">
        <v>190</v>
      </c>
      <c r="C628" s="14">
        <f>_xlfn.XLOOKUP(B628,'Produtos &amp; Marcas'!B:B,'Produtos &amp; Marcas'!A:A)</f>
        <v>19</v>
      </c>
      <c r="D628" s="14">
        <v>1</v>
      </c>
      <c r="E628" s="16" t="s">
        <v>211</v>
      </c>
      <c r="F628" s="14">
        <f>_xlfn.XLOOKUP(E628,'Pontos de Partida'!B:B,'Pontos de Partida'!A:A)</f>
        <v>5</v>
      </c>
    </row>
    <row r="629" spans="1:6" x14ac:dyDescent="0.3">
      <c r="A629" s="14">
        <f t="shared" si="8"/>
        <v>54</v>
      </c>
      <c r="B629" s="15" t="s">
        <v>200</v>
      </c>
      <c r="C629" s="14">
        <f>_xlfn.XLOOKUP(B629,'Produtos &amp; Marcas'!B:B,'Produtos &amp; Marcas'!A:A)</f>
        <v>27</v>
      </c>
      <c r="D629" s="14">
        <v>2</v>
      </c>
      <c r="E629" s="16" t="s">
        <v>211</v>
      </c>
      <c r="F629" s="14">
        <f>_xlfn.XLOOKUP(E629,'Pontos de Partida'!B:B,'Pontos de Partida'!A:A)</f>
        <v>5</v>
      </c>
    </row>
    <row r="630" spans="1:6" x14ac:dyDescent="0.3">
      <c r="A630" s="14">
        <f t="shared" si="8"/>
        <v>55</v>
      </c>
      <c r="B630" s="15" t="s">
        <v>148</v>
      </c>
      <c r="C630" s="14">
        <f>_xlfn.XLOOKUP(B630,'Produtos &amp; Marcas'!B:B,'Produtos &amp; Marcas'!A:A)</f>
        <v>14</v>
      </c>
      <c r="D630" s="14">
        <v>1</v>
      </c>
      <c r="E630" s="16" t="s">
        <v>211</v>
      </c>
      <c r="F630" s="14">
        <f>_xlfn.XLOOKUP(E630,'Pontos de Partida'!B:B,'Pontos de Partida'!A:A)</f>
        <v>5</v>
      </c>
    </row>
    <row r="631" spans="1:6" x14ac:dyDescent="0.3">
      <c r="A631" s="14">
        <f t="shared" si="8"/>
        <v>55</v>
      </c>
      <c r="B631" s="15" t="s">
        <v>199</v>
      </c>
      <c r="C631" s="14">
        <f>_xlfn.XLOOKUP(B631,'Produtos &amp; Marcas'!B:B,'Produtos &amp; Marcas'!A:A)</f>
        <v>23</v>
      </c>
      <c r="D631" s="14">
        <v>3</v>
      </c>
      <c r="E631" s="16" t="s">
        <v>211</v>
      </c>
      <c r="F631" s="14">
        <f>_xlfn.XLOOKUP(E631,'Pontos de Partida'!B:B,'Pontos de Partida'!A:A)</f>
        <v>5</v>
      </c>
    </row>
    <row r="632" spans="1:6" x14ac:dyDescent="0.3">
      <c r="A632" s="14">
        <f t="shared" si="8"/>
        <v>55</v>
      </c>
      <c r="B632" s="15" t="s">
        <v>207</v>
      </c>
      <c r="C632" s="14">
        <f>_xlfn.XLOOKUP(B632,'Produtos &amp; Marcas'!B:B,'Produtos &amp; Marcas'!A:A)</f>
        <v>36</v>
      </c>
      <c r="D632" s="14">
        <v>0.2</v>
      </c>
      <c r="E632" s="16" t="s">
        <v>211</v>
      </c>
      <c r="F632" s="14">
        <f>_xlfn.XLOOKUP(E632,'Pontos de Partida'!B:B,'Pontos de Partida'!A:A)</f>
        <v>5</v>
      </c>
    </row>
    <row r="633" spans="1:6" x14ac:dyDescent="0.3">
      <c r="A633" s="14">
        <f t="shared" si="8"/>
        <v>55</v>
      </c>
      <c r="B633" s="15" t="s">
        <v>159</v>
      </c>
      <c r="C633" s="14">
        <f>_xlfn.XLOOKUP(B633,'Produtos &amp; Marcas'!B:B,'Produtos &amp; Marcas'!A:A)</f>
        <v>17</v>
      </c>
      <c r="D633" s="14">
        <v>1.5</v>
      </c>
      <c r="E633" s="16" t="s">
        <v>211</v>
      </c>
      <c r="F633" s="14">
        <f>_xlfn.XLOOKUP(E633,'Pontos de Partida'!B:B,'Pontos de Partida'!A:A)</f>
        <v>5</v>
      </c>
    </row>
    <row r="634" spans="1:6" x14ac:dyDescent="0.3">
      <c r="A634" s="14">
        <f t="shared" si="8"/>
        <v>55</v>
      </c>
      <c r="B634" s="15" t="s">
        <v>189</v>
      </c>
      <c r="C634" s="14">
        <f>_xlfn.XLOOKUP(B634,'Produtos &amp; Marcas'!B:B,'Produtos &amp; Marcas'!A:A)</f>
        <v>8</v>
      </c>
      <c r="D634" s="14">
        <v>0.4</v>
      </c>
      <c r="E634" s="16" t="s">
        <v>211</v>
      </c>
      <c r="F634" s="14">
        <f>_xlfn.XLOOKUP(E634,'Pontos de Partida'!B:B,'Pontos de Partida'!A:A)</f>
        <v>5</v>
      </c>
    </row>
    <row r="635" spans="1:6" x14ac:dyDescent="0.3">
      <c r="A635" s="14">
        <f t="shared" si="8"/>
        <v>55</v>
      </c>
      <c r="B635" s="15" t="s">
        <v>197</v>
      </c>
      <c r="C635" s="14">
        <f>_xlfn.XLOOKUP(B635,'Produtos &amp; Marcas'!B:B,'Produtos &amp; Marcas'!A:A)</f>
        <v>29</v>
      </c>
      <c r="D635" s="14">
        <v>1</v>
      </c>
      <c r="E635" s="16" t="s">
        <v>211</v>
      </c>
      <c r="F635" s="14">
        <f>_xlfn.XLOOKUP(E635,'Pontos de Partida'!B:B,'Pontos de Partida'!A:A)</f>
        <v>5</v>
      </c>
    </row>
    <row r="636" spans="1:6" x14ac:dyDescent="0.3">
      <c r="A636" s="14">
        <f t="shared" si="8"/>
        <v>55</v>
      </c>
      <c r="B636" s="15" t="s">
        <v>200</v>
      </c>
      <c r="C636" s="14">
        <f>_xlfn.XLOOKUP(B636,'Produtos &amp; Marcas'!B:B,'Produtos &amp; Marcas'!A:A)</f>
        <v>27</v>
      </c>
      <c r="D636" s="14">
        <v>2</v>
      </c>
      <c r="E636" s="16" t="s">
        <v>211</v>
      </c>
      <c r="F636" s="14">
        <f>_xlfn.XLOOKUP(E636,'Pontos de Partida'!B:B,'Pontos de Partida'!A:A)</f>
        <v>5</v>
      </c>
    </row>
    <row r="637" spans="1:6" x14ac:dyDescent="0.3">
      <c r="A637" s="14">
        <f t="shared" si="8"/>
        <v>55</v>
      </c>
      <c r="B637" s="15" t="s">
        <v>158</v>
      </c>
      <c r="C637" s="14">
        <f>_xlfn.XLOOKUP(B637,'Produtos &amp; Marcas'!B:B,'Produtos &amp; Marcas'!A:A)</f>
        <v>2</v>
      </c>
      <c r="D637" s="14">
        <v>2</v>
      </c>
      <c r="E637" s="16" t="s">
        <v>211</v>
      </c>
      <c r="F637" s="14">
        <f>_xlfn.XLOOKUP(E637,'Pontos de Partida'!B:B,'Pontos de Partida'!A:A)</f>
        <v>5</v>
      </c>
    </row>
    <row r="638" spans="1:6" x14ac:dyDescent="0.3">
      <c r="A638" s="14">
        <f t="shared" si="8"/>
        <v>56</v>
      </c>
      <c r="B638" s="15" t="s">
        <v>198</v>
      </c>
      <c r="C638" s="14">
        <f>_xlfn.XLOOKUP(B638,'Produtos &amp; Marcas'!B:B,'Produtos &amp; Marcas'!A:A)</f>
        <v>6</v>
      </c>
      <c r="D638" s="14">
        <v>3</v>
      </c>
      <c r="E638" s="16" t="s">
        <v>212</v>
      </c>
      <c r="F638" s="14">
        <f>_xlfn.XLOOKUP(E638,'Pontos de Partida'!B:B,'Pontos de Partida'!A:A)</f>
        <v>6</v>
      </c>
    </row>
    <row r="639" spans="1:6" x14ac:dyDescent="0.3">
      <c r="A639" s="14">
        <f t="shared" si="8"/>
        <v>56</v>
      </c>
      <c r="B639" s="15" t="s">
        <v>155</v>
      </c>
      <c r="C639" s="14">
        <f>_xlfn.XLOOKUP(B639,'Produtos &amp; Marcas'!B:B,'Produtos &amp; Marcas'!A:A)</f>
        <v>3</v>
      </c>
      <c r="D639" s="14">
        <v>2</v>
      </c>
      <c r="E639" s="16" t="s">
        <v>212</v>
      </c>
      <c r="F639" s="14">
        <f>_xlfn.XLOOKUP(E639,'Pontos de Partida'!B:B,'Pontos de Partida'!A:A)</f>
        <v>6</v>
      </c>
    </row>
    <row r="640" spans="1:6" x14ac:dyDescent="0.3">
      <c r="A640" s="14">
        <f t="shared" si="8"/>
        <v>56</v>
      </c>
      <c r="B640" s="15" t="s">
        <v>152</v>
      </c>
      <c r="C640" s="14">
        <f>_xlfn.XLOOKUP(B640,'Produtos &amp; Marcas'!B:B,'Produtos &amp; Marcas'!A:A)</f>
        <v>9</v>
      </c>
      <c r="D640" s="14">
        <v>0.4</v>
      </c>
      <c r="E640" s="16" t="s">
        <v>212</v>
      </c>
      <c r="F640" s="14">
        <f>_xlfn.XLOOKUP(E640,'Pontos de Partida'!B:B,'Pontos de Partida'!A:A)</f>
        <v>6</v>
      </c>
    </row>
    <row r="641" spans="1:6" x14ac:dyDescent="0.3">
      <c r="A641" s="14">
        <f t="shared" si="8"/>
        <v>56</v>
      </c>
      <c r="B641" s="15" t="s">
        <v>156</v>
      </c>
      <c r="C641" s="14">
        <f>_xlfn.XLOOKUP(B641,'Produtos &amp; Marcas'!B:B,'Produtos &amp; Marcas'!A:A)</f>
        <v>12</v>
      </c>
      <c r="D641" s="14">
        <v>0.8</v>
      </c>
      <c r="E641" s="16" t="s">
        <v>212</v>
      </c>
      <c r="F641" s="14">
        <f>_xlfn.XLOOKUP(E641,'Pontos de Partida'!B:B,'Pontos de Partida'!A:A)</f>
        <v>6</v>
      </c>
    </row>
    <row r="642" spans="1:6" x14ac:dyDescent="0.3">
      <c r="A642" s="14">
        <f t="shared" si="8"/>
        <v>56</v>
      </c>
      <c r="B642" s="15" t="s">
        <v>153</v>
      </c>
      <c r="C642" s="14">
        <f>_xlfn.XLOOKUP(B642,'Produtos &amp; Marcas'!B:B,'Produtos &amp; Marcas'!A:A)</f>
        <v>13</v>
      </c>
      <c r="D642" s="14">
        <v>1</v>
      </c>
      <c r="E642" s="16" t="s">
        <v>212</v>
      </c>
      <c r="F642" s="14">
        <f>_xlfn.XLOOKUP(E642,'Pontos de Partida'!B:B,'Pontos de Partida'!A:A)</f>
        <v>6</v>
      </c>
    </row>
    <row r="643" spans="1:6" x14ac:dyDescent="0.3">
      <c r="A643" s="14">
        <f t="shared" si="8"/>
        <v>56</v>
      </c>
      <c r="B643" s="15" t="s">
        <v>157</v>
      </c>
      <c r="C643" s="14">
        <f>_xlfn.XLOOKUP(B643,'Produtos &amp; Marcas'!B:B,'Produtos &amp; Marcas'!A:A)</f>
        <v>16</v>
      </c>
      <c r="D643" s="14">
        <v>1.5</v>
      </c>
      <c r="E643" s="16" t="s">
        <v>212</v>
      </c>
      <c r="F643" s="14">
        <f>_xlfn.XLOOKUP(E643,'Pontos de Partida'!B:B,'Pontos de Partida'!A:A)</f>
        <v>6</v>
      </c>
    </row>
    <row r="644" spans="1:6" x14ac:dyDescent="0.3">
      <c r="A644" s="14">
        <f t="shared" si="8"/>
        <v>56</v>
      </c>
      <c r="B644" s="15" t="s">
        <v>190</v>
      </c>
      <c r="C644" s="14">
        <f>_xlfn.XLOOKUP(B644,'Produtos &amp; Marcas'!B:B,'Produtos &amp; Marcas'!A:A)</f>
        <v>19</v>
      </c>
      <c r="D644" s="14">
        <v>1</v>
      </c>
      <c r="E644" s="16" t="s">
        <v>212</v>
      </c>
      <c r="F644" s="14">
        <f>_xlfn.XLOOKUP(E644,'Pontos de Partida'!B:B,'Pontos de Partida'!A:A)</f>
        <v>6</v>
      </c>
    </row>
    <row r="645" spans="1:6" x14ac:dyDescent="0.3">
      <c r="A645" s="14">
        <f t="shared" si="8"/>
        <v>56</v>
      </c>
      <c r="B645" s="15" t="s">
        <v>199</v>
      </c>
      <c r="C645" s="14">
        <f>_xlfn.XLOOKUP(B645,'Produtos &amp; Marcas'!B:B,'Produtos &amp; Marcas'!A:A)</f>
        <v>23</v>
      </c>
      <c r="D645" s="14">
        <v>3</v>
      </c>
      <c r="E645" s="16" t="s">
        <v>212</v>
      </c>
      <c r="F645" s="14">
        <f>_xlfn.XLOOKUP(E645,'Pontos de Partida'!B:B,'Pontos de Partida'!A:A)</f>
        <v>6</v>
      </c>
    </row>
    <row r="646" spans="1:6" x14ac:dyDescent="0.3">
      <c r="A646" s="14">
        <f t="shared" si="8"/>
        <v>56</v>
      </c>
      <c r="B646" s="15" t="s">
        <v>200</v>
      </c>
      <c r="C646" s="14">
        <f>_xlfn.XLOOKUP(B646,'Produtos &amp; Marcas'!B:B,'Produtos &amp; Marcas'!A:A)</f>
        <v>27</v>
      </c>
      <c r="D646" s="14">
        <v>2</v>
      </c>
      <c r="E646" s="16" t="s">
        <v>212</v>
      </c>
      <c r="F646" s="14">
        <f>_xlfn.XLOOKUP(E646,'Pontos de Partida'!B:B,'Pontos de Partida'!A:A)</f>
        <v>6</v>
      </c>
    </row>
    <row r="647" spans="1:6" x14ac:dyDescent="0.3">
      <c r="A647" s="14">
        <f t="shared" si="8"/>
        <v>56</v>
      </c>
      <c r="B647" s="15" t="s">
        <v>192</v>
      </c>
      <c r="C647" s="14">
        <f>_xlfn.XLOOKUP(B647,'Produtos &amp; Marcas'!B:B,'Produtos &amp; Marcas'!A:A)</f>
        <v>28</v>
      </c>
      <c r="D647" s="14">
        <v>1</v>
      </c>
      <c r="E647" s="16" t="s">
        <v>212</v>
      </c>
      <c r="F647" s="14">
        <f>_xlfn.XLOOKUP(E647,'Pontos de Partida'!B:B,'Pontos de Partida'!A:A)</f>
        <v>6</v>
      </c>
    </row>
    <row r="648" spans="1:6" x14ac:dyDescent="0.3">
      <c r="A648" s="14">
        <f t="shared" si="8"/>
        <v>56</v>
      </c>
      <c r="B648" s="15" t="s">
        <v>193</v>
      </c>
      <c r="C648" s="14">
        <f>_xlfn.XLOOKUP(B648,'Produtos &amp; Marcas'!B:B,'Produtos &amp; Marcas'!A:A)</f>
        <v>34</v>
      </c>
      <c r="D648" s="14">
        <v>0.2</v>
      </c>
      <c r="E648" s="16" t="s">
        <v>212</v>
      </c>
      <c r="F648" s="14">
        <f>_xlfn.XLOOKUP(E648,'Pontos de Partida'!B:B,'Pontos de Partida'!A:A)</f>
        <v>6</v>
      </c>
    </row>
    <row r="649" spans="1:6" x14ac:dyDescent="0.3">
      <c r="A649" s="14">
        <f t="shared" si="8"/>
        <v>56</v>
      </c>
      <c r="B649" s="15" t="s">
        <v>150</v>
      </c>
      <c r="C649" s="14">
        <f>_xlfn.XLOOKUP(B649,'Produtos &amp; Marcas'!B:B,'Produtos &amp; Marcas'!A:A)</f>
        <v>37</v>
      </c>
      <c r="D649" s="14">
        <v>0.5</v>
      </c>
      <c r="E649" s="16" t="s">
        <v>212</v>
      </c>
      <c r="F649" s="14">
        <f>_xlfn.XLOOKUP(E649,'Pontos de Partida'!B:B,'Pontos de Partida'!A:A)</f>
        <v>6</v>
      </c>
    </row>
    <row r="650" spans="1:6" x14ac:dyDescent="0.3">
      <c r="A650" s="14">
        <f t="shared" si="8"/>
        <v>56</v>
      </c>
      <c r="B650" s="15" t="s">
        <v>194</v>
      </c>
      <c r="C650" s="14">
        <f>_xlfn.XLOOKUP(B650,'Produtos &amp; Marcas'!B:B,'Produtos &amp; Marcas'!A:A)</f>
        <v>32</v>
      </c>
      <c r="D650" s="14">
        <v>1</v>
      </c>
      <c r="E650" s="16" t="s">
        <v>212</v>
      </c>
      <c r="F650" s="14">
        <f>_xlfn.XLOOKUP(E650,'Pontos de Partida'!B:B,'Pontos de Partida'!A:A)</f>
        <v>6</v>
      </c>
    </row>
    <row r="651" spans="1:6" x14ac:dyDescent="0.3">
      <c r="A651" s="14">
        <f t="shared" si="8"/>
        <v>57</v>
      </c>
      <c r="B651" s="15" t="s">
        <v>146</v>
      </c>
      <c r="C651" s="14">
        <f>_xlfn.XLOOKUP(B651,'Produtos &amp; Marcas'!B:B,'Produtos &amp; Marcas'!A:A)</f>
        <v>4</v>
      </c>
      <c r="D651" s="14">
        <v>3</v>
      </c>
      <c r="E651" s="16" t="s">
        <v>212</v>
      </c>
      <c r="F651" s="14">
        <f>_xlfn.XLOOKUP(E651,'Pontos de Partida'!B:B,'Pontos de Partida'!A:A)</f>
        <v>6</v>
      </c>
    </row>
    <row r="652" spans="1:6" x14ac:dyDescent="0.3">
      <c r="A652" s="14">
        <f t="shared" si="8"/>
        <v>57</v>
      </c>
      <c r="B652" s="15" t="s">
        <v>158</v>
      </c>
      <c r="C652" s="14">
        <f>_xlfn.XLOOKUP(B652,'Produtos &amp; Marcas'!B:B,'Produtos &amp; Marcas'!A:A)</f>
        <v>2</v>
      </c>
      <c r="D652" s="14">
        <v>2</v>
      </c>
      <c r="E652" s="16" t="s">
        <v>212</v>
      </c>
      <c r="F652" s="14">
        <f>_xlfn.XLOOKUP(E652,'Pontos de Partida'!B:B,'Pontos de Partida'!A:A)</f>
        <v>6</v>
      </c>
    </row>
    <row r="653" spans="1:6" x14ac:dyDescent="0.3">
      <c r="A653" s="14">
        <f t="shared" si="8"/>
        <v>57</v>
      </c>
      <c r="B653" s="15" t="s">
        <v>189</v>
      </c>
      <c r="C653" s="14">
        <f>_xlfn.XLOOKUP(B653,'Produtos &amp; Marcas'!B:B,'Produtos &amp; Marcas'!A:A)</f>
        <v>8</v>
      </c>
      <c r="D653" s="14">
        <v>0.4</v>
      </c>
      <c r="E653" s="16" t="s">
        <v>212</v>
      </c>
      <c r="F653" s="14">
        <f>_xlfn.XLOOKUP(E653,'Pontos de Partida'!B:B,'Pontos de Partida'!A:A)</f>
        <v>6</v>
      </c>
    </row>
    <row r="654" spans="1:6" x14ac:dyDescent="0.3">
      <c r="A654" s="14">
        <f t="shared" si="8"/>
        <v>57</v>
      </c>
      <c r="B654" s="15" t="s">
        <v>147</v>
      </c>
      <c r="C654" s="14">
        <f>_xlfn.XLOOKUP(B654,'Produtos &amp; Marcas'!B:B,'Produtos &amp; Marcas'!A:A)</f>
        <v>11</v>
      </c>
      <c r="D654" s="14">
        <v>0.8</v>
      </c>
      <c r="E654" s="16" t="s">
        <v>212</v>
      </c>
      <c r="F654" s="14">
        <f>_xlfn.XLOOKUP(E654,'Pontos de Partida'!B:B,'Pontos de Partida'!A:A)</f>
        <v>6</v>
      </c>
    </row>
    <row r="655" spans="1:6" x14ac:dyDescent="0.3">
      <c r="A655" s="14">
        <f t="shared" ref="A655:A718" si="9">A563+11</f>
        <v>57</v>
      </c>
      <c r="B655" s="15" t="s">
        <v>201</v>
      </c>
      <c r="C655" s="14">
        <f>_xlfn.XLOOKUP(B655,'Produtos &amp; Marcas'!B:B,'Produtos &amp; Marcas'!A:A)</f>
        <v>15</v>
      </c>
      <c r="D655" s="14">
        <v>1</v>
      </c>
      <c r="E655" s="16" t="s">
        <v>212</v>
      </c>
      <c r="F655" s="14">
        <f>_xlfn.XLOOKUP(E655,'Pontos de Partida'!B:B,'Pontos de Partida'!A:A)</f>
        <v>6</v>
      </c>
    </row>
    <row r="656" spans="1:6" x14ac:dyDescent="0.3">
      <c r="A656" s="14">
        <f t="shared" si="9"/>
        <v>57</v>
      </c>
      <c r="B656" s="15" t="s">
        <v>159</v>
      </c>
      <c r="C656" s="14">
        <f>_xlfn.XLOOKUP(B656,'Produtos &amp; Marcas'!B:B,'Produtos &amp; Marcas'!A:A)</f>
        <v>17</v>
      </c>
      <c r="D656" s="14">
        <v>1.5</v>
      </c>
      <c r="E656" s="16" t="s">
        <v>212</v>
      </c>
      <c r="F656" s="14">
        <f>_xlfn.XLOOKUP(E656,'Pontos de Partida'!B:B,'Pontos de Partida'!A:A)</f>
        <v>6</v>
      </c>
    </row>
    <row r="657" spans="1:6" x14ac:dyDescent="0.3">
      <c r="A657" s="14">
        <f t="shared" si="9"/>
        <v>57</v>
      </c>
      <c r="B657" s="15" t="s">
        <v>202</v>
      </c>
      <c r="C657" s="14">
        <f>_xlfn.XLOOKUP(B657,'Produtos &amp; Marcas'!B:B,'Produtos &amp; Marcas'!A:A)</f>
        <v>20</v>
      </c>
      <c r="D657" s="14">
        <v>1</v>
      </c>
      <c r="E657" s="16" t="s">
        <v>212</v>
      </c>
      <c r="F657" s="14">
        <f>_xlfn.XLOOKUP(E657,'Pontos de Partida'!B:B,'Pontos de Partida'!A:A)</f>
        <v>6</v>
      </c>
    </row>
    <row r="658" spans="1:6" x14ac:dyDescent="0.3">
      <c r="A658" s="14">
        <f t="shared" si="9"/>
        <v>57</v>
      </c>
      <c r="B658" s="15" t="s">
        <v>154</v>
      </c>
      <c r="C658" s="14">
        <f>_xlfn.XLOOKUP(B658,'Produtos &amp; Marcas'!B:B,'Produtos &amp; Marcas'!A:A)</f>
        <v>22</v>
      </c>
      <c r="D658" s="14">
        <v>3</v>
      </c>
      <c r="E658" s="16" t="s">
        <v>212</v>
      </c>
      <c r="F658" s="14">
        <f>_xlfn.XLOOKUP(E658,'Pontos de Partida'!B:B,'Pontos de Partida'!A:A)</f>
        <v>6</v>
      </c>
    </row>
    <row r="659" spans="1:6" x14ac:dyDescent="0.3">
      <c r="A659" s="14">
        <f t="shared" si="9"/>
        <v>57</v>
      </c>
      <c r="B659" s="15" t="s">
        <v>160</v>
      </c>
      <c r="C659" s="14">
        <f>_xlfn.XLOOKUP(B659,'Produtos &amp; Marcas'!B:B,'Produtos &amp; Marcas'!A:A)</f>
        <v>25</v>
      </c>
      <c r="D659" s="14">
        <v>2</v>
      </c>
      <c r="E659" s="16" t="s">
        <v>212</v>
      </c>
      <c r="F659" s="14">
        <f>_xlfn.XLOOKUP(E659,'Pontos de Partida'!B:B,'Pontos de Partida'!A:A)</f>
        <v>6</v>
      </c>
    </row>
    <row r="660" spans="1:6" x14ac:dyDescent="0.3">
      <c r="A660" s="14">
        <f t="shared" si="9"/>
        <v>57</v>
      </c>
      <c r="B660" s="15" t="s">
        <v>203</v>
      </c>
      <c r="C660" s="14">
        <f>_xlfn.XLOOKUP(B660,'Produtos &amp; Marcas'!B:B,'Produtos &amp; Marcas'!A:A)</f>
        <v>30</v>
      </c>
      <c r="D660" s="14">
        <v>1</v>
      </c>
      <c r="E660" s="16" t="s">
        <v>212</v>
      </c>
      <c r="F660" s="14">
        <f>_xlfn.XLOOKUP(E660,'Pontos de Partida'!B:B,'Pontos de Partida'!A:A)</f>
        <v>6</v>
      </c>
    </row>
    <row r="661" spans="1:6" x14ac:dyDescent="0.3">
      <c r="A661" s="14">
        <f t="shared" si="9"/>
        <v>57</v>
      </c>
      <c r="B661" s="15" t="s">
        <v>204</v>
      </c>
      <c r="C661" s="14">
        <f>_xlfn.XLOOKUP(B661,'Produtos &amp; Marcas'!B:B,'Produtos &amp; Marcas'!A:A)</f>
        <v>35</v>
      </c>
      <c r="D661" s="14">
        <v>0.2</v>
      </c>
      <c r="E661" s="16" t="s">
        <v>212</v>
      </c>
      <c r="F661" s="14">
        <f>_xlfn.XLOOKUP(E661,'Pontos de Partida'!B:B,'Pontos de Partida'!A:A)</f>
        <v>6</v>
      </c>
    </row>
    <row r="662" spans="1:6" x14ac:dyDescent="0.3">
      <c r="A662" s="14">
        <f t="shared" si="9"/>
        <v>57</v>
      </c>
      <c r="B662" s="15" t="s">
        <v>161</v>
      </c>
      <c r="C662" s="14">
        <f>_xlfn.XLOOKUP(B662,'Produtos &amp; Marcas'!B:B,'Produtos &amp; Marcas'!A:A)</f>
        <v>38</v>
      </c>
      <c r="D662" s="14">
        <v>0.5</v>
      </c>
      <c r="E662" s="16" t="s">
        <v>212</v>
      </c>
      <c r="F662" s="14">
        <f>_xlfn.XLOOKUP(E662,'Pontos de Partida'!B:B,'Pontos de Partida'!A:A)</f>
        <v>6</v>
      </c>
    </row>
    <row r="663" spans="1:6" x14ac:dyDescent="0.3">
      <c r="A663" s="14">
        <f t="shared" si="9"/>
        <v>57</v>
      </c>
      <c r="B663" s="15" t="s">
        <v>205</v>
      </c>
      <c r="C663" s="14">
        <f>_xlfn.XLOOKUP(B663,'Produtos &amp; Marcas'!B:B,'Produtos &amp; Marcas'!A:A)</f>
        <v>31</v>
      </c>
      <c r="D663" s="14">
        <v>1</v>
      </c>
      <c r="E663" s="16" t="s">
        <v>212</v>
      </c>
      <c r="F663" s="14">
        <f>_xlfn.XLOOKUP(E663,'Pontos de Partida'!B:B,'Pontos de Partida'!A:A)</f>
        <v>6</v>
      </c>
    </row>
    <row r="664" spans="1:6" x14ac:dyDescent="0.3">
      <c r="A664" s="14">
        <f t="shared" si="9"/>
        <v>58</v>
      </c>
      <c r="B664" s="15" t="s">
        <v>151</v>
      </c>
      <c r="C664" s="14">
        <f>_xlfn.XLOOKUP(B664,'Produtos &amp; Marcas'!B:B,'Produtos &amp; Marcas'!A:A)</f>
        <v>5</v>
      </c>
      <c r="D664" s="14">
        <v>3</v>
      </c>
      <c r="E664" s="16" t="s">
        <v>212</v>
      </c>
      <c r="F664" s="14">
        <f>_xlfn.XLOOKUP(E664,'Pontos de Partida'!B:B,'Pontos de Partida'!A:A)</f>
        <v>6</v>
      </c>
    </row>
    <row r="665" spans="1:6" x14ac:dyDescent="0.3">
      <c r="A665" s="14">
        <f t="shared" si="9"/>
        <v>58</v>
      </c>
      <c r="B665" s="15" t="s">
        <v>162</v>
      </c>
      <c r="C665" s="14">
        <f>_xlfn.XLOOKUP(B665,'Produtos &amp; Marcas'!B:B,'Produtos &amp; Marcas'!A:A)</f>
        <v>1</v>
      </c>
      <c r="D665" s="14">
        <v>2</v>
      </c>
      <c r="E665" s="16" t="s">
        <v>212</v>
      </c>
      <c r="F665" s="14">
        <f>_xlfn.XLOOKUP(E665,'Pontos de Partida'!B:B,'Pontos de Partida'!A:A)</f>
        <v>6</v>
      </c>
    </row>
    <row r="666" spans="1:6" x14ac:dyDescent="0.3">
      <c r="A666" s="14">
        <f t="shared" si="9"/>
        <v>58</v>
      </c>
      <c r="B666" s="15" t="s">
        <v>152</v>
      </c>
      <c r="C666" s="14">
        <f>_xlfn.XLOOKUP(B666,'Produtos &amp; Marcas'!B:B,'Produtos &amp; Marcas'!A:A)</f>
        <v>9</v>
      </c>
      <c r="D666" s="14">
        <v>0.4</v>
      </c>
      <c r="E666" s="16" t="s">
        <v>212</v>
      </c>
      <c r="F666" s="14">
        <f>_xlfn.XLOOKUP(E666,'Pontos de Partida'!B:B,'Pontos de Partida'!A:A)</f>
        <v>6</v>
      </c>
    </row>
    <row r="667" spans="1:6" x14ac:dyDescent="0.3">
      <c r="A667" s="14">
        <f t="shared" si="9"/>
        <v>58</v>
      </c>
      <c r="B667" s="15" t="s">
        <v>147</v>
      </c>
      <c r="C667" s="14">
        <f>_xlfn.XLOOKUP(B667,'Produtos &amp; Marcas'!B:B,'Produtos &amp; Marcas'!A:A)</f>
        <v>11</v>
      </c>
      <c r="D667" s="14">
        <v>0.8</v>
      </c>
      <c r="E667" s="16" t="s">
        <v>212</v>
      </c>
      <c r="F667" s="14">
        <f>_xlfn.XLOOKUP(E667,'Pontos de Partida'!B:B,'Pontos de Partida'!A:A)</f>
        <v>6</v>
      </c>
    </row>
    <row r="668" spans="1:6" x14ac:dyDescent="0.3">
      <c r="A668" s="14">
        <f t="shared" si="9"/>
        <v>58</v>
      </c>
      <c r="B668" s="15" t="s">
        <v>148</v>
      </c>
      <c r="C668" s="14">
        <f>_xlfn.XLOOKUP(B668,'Produtos &amp; Marcas'!B:B,'Produtos &amp; Marcas'!A:A)</f>
        <v>14</v>
      </c>
      <c r="D668" s="14">
        <v>1</v>
      </c>
      <c r="E668" s="16" t="s">
        <v>212</v>
      </c>
      <c r="F668" s="14">
        <f>_xlfn.XLOOKUP(E668,'Pontos de Partida'!B:B,'Pontos de Partida'!A:A)</f>
        <v>6</v>
      </c>
    </row>
    <row r="669" spans="1:6" x14ac:dyDescent="0.3">
      <c r="A669" s="14">
        <f t="shared" si="9"/>
        <v>58</v>
      </c>
      <c r="B669" s="15" t="s">
        <v>206</v>
      </c>
      <c r="C669" s="14">
        <f>_xlfn.XLOOKUP(B669,'Produtos &amp; Marcas'!B:B,'Produtos &amp; Marcas'!A:A)</f>
        <v>18</v>
      </c>
      <c r="D669" s="14">
        <v>1.5</v>
      </c>
      <c r="E669" s="16" t="s">
        <v>212</v>
      </c>
      <c r="F669" s="14">
        <f>_xlfn.XLOOKUP(E669,'Pontos de Partida'!B:B,'Pontos de Partida'!A:A)</f>
        <v>6</v>
      </c>
    </row>
    <row r="670" spans="1:6" x14ac:dyDescent="0.3">
      <c r="A670" s="14">
        <f t="shared" si="9"/>
        <v>58</v>
      </c>
      <c r="B670" s="15" t="s">
        <v>195</v>
      </c>
      <c r="C670" s="14">
        <f>_xlfn.XLOOKUP(B670,'Produtos &amp; Marcas'!B:B,'Produtos &amp; Marcas'!A:A)</f>
        <v>21</v>
      </c>
      <c r="D670" s="14">
        <v>1</v>
      </c>
      <c r="E670" s="16" t="s">
        <v>212</v>
      </c>
      <c r="F670" s="14">
        <f>_xlfn.XLOOKUP(E670,'Pontos de Partida'!B:B,'Pontos de Partida'!A:A)</f>
        <v>6</v>
      </c>
    </row>
    <row r="671" spans="1:6" x14ac:dyDescent="0.3">
      <c r="A671" s="14">
        <f t="shared" si="9"/>
        <v>58</v>
      </c>
      <c r="B671" s="15" t="s">
        <v>199</v>
      </c>
      <c r="C671" s="14">
        <f>_xlfn.XLOOKUP(B671,'Produtos &amp; Marcas'!B:B,'Produtos &amp; Marcas'!A:A)</f>
        <v>23</v>
      </c>
      <c r="D671" s="14">
        <v>3</v>
      </c>
      <c r="E671" s="16" t="s">
        <v>212</v>
      </c>
      <c r="F671" s="14">
        <f>_xlfn.XLOOKUP(E671,'Pontos de Partida'!B:B,'Pontos de Partida'!A:A)</f>
        <v>6</v>
      </c>
    </row>
    <row r="672" spans="1:6" x14ac:dyDescent="0.3">
      <c r="A672" s="14">
        <f t="shared" si="9"/>
        <v>58</v>
      </c>
      <c r="B672" s="15" t="s">
        <v>200</v>
      </c>
      <c r="C672" s="14">
        <f>_xlfn.XLOOKUP(B672,'Produtos &amp; Marcas'!B:B,'Produtos &amp; Marcas'!A:A)</f>
        <v>27</v>
      </c>
      <c r="D672" s="14">
        <v>2</v>
      </c>
      <c r="E672" s="16" t="s">
        <v>212</v>
      </c>
      <c r="F672" s="14">
        <f>_xlfn.XLOOKUP(E672,'Pontos de Partida'!B:B,'Pontos de Partida'!A:A)</f>
        <v>6</v>
      </c>
    </row>
    <row r="673" spans="1:6" x14ac:dyDescent="0.3">
      <c r="A673" s="14">
        <f t="shared" si="9"/>
        <v>58</v>
      </c>
      <c r="B673" s="15" t="s">
        <v>197</v>
      </c>
      <c r="C673" s="14">
        <f>_xlfn.XLOOKUP(B673,'Produtos &amp; Marcas'!B:B,'Produtos &amp; Marcas'!A:A)</f>
        <v>29</v>
      </c>
      <c r="D673" s="14">
        <v>1</v>
      </c>
      <c r="E673" s="16" t="s">
        <v>212</v>
      </c>
      <c r="F673" s="14">
        <f>_xlfn.XLOOKUP(E673,'Pontos de Partida'!B:B,'Pontos de Partida'!A:A)</f>
        <v>6</v>
      </c>
    </row>
    <row r="674" spans="1:6" x14ac:dyDescent="0.3">
      <c r="A674" s="14">
        <f t="shared" si="9"/>
        <v>58</v>
      </c>
      <c r="B674" s="15" t="s">
        <v>207</v>
      </c>
      <c r="C674" s="14">
        <f>_xlfn.XLOOKUP(B674,'Produtos &amp; Marcas'!B:B,'Produtos &amp; Marcas'!A:A)</f>
        <v>36</v>
      </c>
      <c r="D674" s="14">
        <v>0.2</v>
      </c>
      <c r="E674" s="16" t="s">
        <v>212</v>
      </c>
      <c r="F674" s="14">
        <f>_xlfn.XLOOKUP(E674,'Pontos de Partida'!B:B,'Pontos de Partida'!A:A)</f>
        <v>6</v>
      </c>
    </row>
    <row r="675" spans="1:6" x14ac:dyDescent="0.3">
      <c r="A675" s="14">
        <f t="shared" si="9"/>
        <v>58</v>
      </c>
      <c r="B675" s="15" t="s">
        <v>208</v>
      </c>
      <c r="C675" s="14">
        <f>_xlfn.XLOOKUP(B675,'Produtos &amp; Marcas'!B:B,'Produtos &amp; Marcas'!A:A)</f>
        <v>39</v>
      </c>
      <c r="D675" s="14">
        <v>0.5</v>
      </c>
      <c r="E675" s="16" t="s">
        <v>212</v>
      </c>
      <c r="F675" s="14">
        <f>_xlfn.XLOOKUP(E675,'Pontos de Partida'!B:B,'Pontos de Partida'!A:A)</f>
        <v>6</v>
      </c>
    </row>
    <row r="676" spans="1:6" x14ac:dyDescent="0.3">
      <c r="A676" s="14">
        <f t="shared" si="9"/>
        <v>58</v>
      </c>
      <c r="B676" s="15" t="s">
        <v>194</v>
      </c>
      <c r="C676" s="14">
        <f>_xlfn.XLOOKUP(B676,'Produtos &amp; Marcas'!B:B,'Produtos &amp; Marcas'!A:A)</f>
        <v>32</v>
      </c>
      <c r="D676" s="14">
        <v>1</v>
      </c>
      <c r="E676" s="16" t="s">
        <v>212</v>
      </c>
      <c r="F676" s="14">
        <f>_xlfn.XLOOKUP(E676,'Pontos de Partida'!B:B,'Pontos de Partida'!A:A)</f>
        <v>6</v>
      </c>
    </row>
    <row r="677" spans="1:6" x14ac:dyDescent="0.3">
      <c r="A677" s="14">
        <f t="shared" si="9"/>
        <v>59</v>
      </c>
      <c r="B677" s="15" t="s">
        <v>193</v>
      </c>
      <c r="C677" s="14">
        <f>_xlfn.XLOOKUP(B677,'Produtos &amp; Marcas'!B:B,'Produtos &amp; Marcas'!A:A)</f>
        <v>34</v>
      </c>
      <c r="D677" s="14">
        <v>0.2</v>
      </c>
      <c r="E677" s="16" t="s">
        <v>212</v>
      </c>
      <c r="F677" s="14">
        <f>_xlfn.XLOOKUP(E677,'Pontos de Partida'!B:B,'Pontos de Partida'!A:A)</f>
        <v>6</v>
      </c>
    </row>
    <row r="678" spans="1:6" x14ac:dyDescent="0.3">
      <c r="A678" s="14">
        <f t="shared" si="9"/>
        <v>59</v>
      </c>
      <c r="B678" s="15" t="s">
        <v>158</v>
      </c>
      <c r="C678" s="14">
        <f>_xlfn.XLOOKUP(B678,'Produtos &amp; Marcas'!B:B,'Produtos &amp; Marcas'!A:A)</f>
        <v>2</v>
      </c>
      <c r="D678" s="14">
        <v>2</v>
      </c>
      <c r="E678" s="16" t="s">
        <v>212</v>
      </c>
      <c r="F678" s="14">
        <f>_xlfn.XLOOKUP(E678,'Pontos de Partida'!B:B,'Pontos de Partida'!A:A)</f>
        <v>6</v>
      </c>
    </row>
    <row r="679" spans="1:6" x14ac:dyDescent="0.3">
      <c r="A679" s="14">
        <f t="shared" si="9"/>
        <v>59</v>
      </c>
      <c r="B679" s="15" t="s">
        <v>146</v>
      </c>
      <c r="C679" s="14">
        <f>_xlfn.XLOOKUP(B679,'Produtos &amp; Marcas'!B:B,'Produtos &amp; Marcas'!A:A)</f>
        <v>4</v>
      </c>
      <c r="D679" s="14">
        <v>3</v>
      </c>
      <c r="E679" s="16" t="s">
        <v>212</v>
      </c>
      <c r="F679" s="14">
        <f>_xlfn.XLOOKUP(E679,'Pontos de Partida'!B:B,'Pontos de Partida'!A:A)</f>
        <v>6</v>
      </c>
    </row>
    <row r="680" spans="1:6" x14ac:dyDescent="0.3">
      <c r="A680" s="14">
        <f t="shared" si="9"/>
        <v>60</v>
      </c>
      <c r="B680" s="15" t="s">
        <v>147</v>
      </c>
      <c r="C680" s="14">
        <f>_xlfn.XLOOKUP(B680,'Produtos &amp; Marcas'!B:B,'Produtos &amp; Marcas'!A:A)</f>
        <v>11</v>
      </c>
      <c r="D680" s="14">
        <v>0.8</v>
      </c>
      <c r="E680" s="16" t="s">
        <v>212</v>
      </c>
      <c r="F680" s="14">
        <f>_xlfn.XLOOKUP(E680,'Pontos de Partida'!B:B,'Pontos de Partida'!A:A)</f>
        <v>6</v>
      </c>
    </row>
    <row r="681" spans="1:6" x14ac:dyDescent="0.3">
      <c r="A681" s="14">
        <f t="shared" si="9"/>
        <v>60</v>
      </c>
      <c r="B681" s="15" t="s">
        <v>163</v>
      </c>
      <c r="C681" s="14">
        <f>_xlfn.XLOOKUP(B681,'Produtos &amp; Marcas'!B:B,'Produtos &amp; Marcas'!A:A)</f>
        <v>7</v>
      </c>
      <c r="D681" s="14">
        <v>0.4</v>
      </c>
      <c r="E681" s="16" t="s">
        <v>212</v>
      </c>
      <c r="F681" s="14">
        <f>_xlfn.XLOOKUP(E681,'Pontos de Partida'!B:B,'Pontos de Partida'!A:A)</f>
        <v>6</v>
      </c>
    </row>
    <row r="682" spans="1:6" x14ac:dyDescent="0.3">
      <c r="A682" s="14">
        <f t="shared" si="9"/>
        <v>60</v>
      </c>
      <c r="B682" s="15" t="s">
        <v>162</v>
      </c>
      <c r="C682" s="14">
        <f>_xlfn.XLOOKUP(B682,'Produtos &amp; Marcas'!B:B,'Produtos &amp; Marcas'!A:A)</f>
        <v>1</v>
      </c>
      <c r="D682" s="14">
        <v>2</v>
      </c>
      <c r="E682" s="16" t="s">
        <v>212</v>
      </c>
      <c r="F682" s="14">
        <f>_xlfn.XLOOKUP(E682,'Pontos de Partida'!B:B,'Pontos de Partida'!A:A)</f>
        <v>6</v>
      </c>
    </row>
    <row r="683" spans="1:6" x14ac:dyDescent="0.3">
      <c r="A683" s="14">
        <f t="shared" si="9"/>
        <v>60</v>
      </c>
      <c r="B683" s="15" t="s">
        <v>160</v>
      </c>
      <c r="C683" s="14">
        <f>_xlfn.XLOOKUP(B683,'Produtos &amp; Marcas'!B:B,'Produtos &amp; Marcas'!A:A)</f>
        <v>25</v>
      </c>
      <c r="D683" s="14">
        <v>2</v>
      </c>
      <c r="E683" s="16" t="s">
        <v>212</v>
      </c>
      <c r="F683" s="14">
        <f>_xlfn.XLOOKUP(E683,'Pontos de Partida'!B:B,'Pontos de Partida'!A:A)</f>
        <v>6</v>
      </c>
    </row>
    <row r="684" spans="1:6" x14ac:dyDescent="0.3">
      <c r="A684" s="14">
        <f t="shared" si="9"/>
        <v>60</v>
      </c>
      <c r="B684" s="15" t="s">
        <v>204</v>
      </c>
      <c r="C684" s="14">
        <f>_xlfn.XLOOKUP(B684,'Produtos &amp; Marcas'!B:B,'Produtos &amp; Marcas'!A:A)</f>
        <v>35</v>
      </c>
      <c r="D684" s="14">
        <v>0.2</v>
      </c>
      <c r="E684" s="16" t="s">
        <v>212</v>
      </c>
      <c r="F684" s="14">
        <f>_xlfn.XLOOKUP(E684,'Pontos de Partida'!B:B,'Pontos de Partida'!A:A)</f>
        <v>6</v>
      </c>
    </row>
    <row r="685" spans="1:6" x14ac:dyDescent="0.3">
      <c r="A685" s="14">
        <f t="shared" si="9"/>
        <v>60</v>
      </c>
      <c r="B685" s="15" t="s">
        <v>190</v>
      </c>
      <c r="C685" s="14">
        <f>_xlfn.XLOOKUP(B685,'Produtos &amp; Marcas'!B:B,'Produtos &amp; Marcas'!A:A)</f>
        <v>19</v>
      </c>
      <c r="D685" s="14">
        <v>1</v>
      </c>
      <c r="E685" s="16" t="s">
        <v>212</v>
      </c>
      <c r="F685" s="14">
        <f>_xlfn.XLOOKUP(E685,'Pontos de Partida'!B:B,'Pontos de Partida'!A:A)</f>
        <v>6</v>
      </c>
    </row>
    <row r="686" spans="1:6" x14ac:dyDescent="0.3">
      <c r="A686" s="14">
        <f t="shared" si="9"/>
        <v>60</v>
      </c>
      <c r="B686" s="15" t="s">
        <v>146</v>
      </c>
      <c r="C686" s="14">
        <f>_xlfn.XLOOKUP(B686,'Produtos &amp; Marcas'!B:B,'Produtos &amp; Marcas'!A:A)</f>
        <v>4</v>
      </c>
      <c r="D686" s="14">
        <v>3</v>
      </c>
      <c r="E686" s="16" t="s">
        <v>212</v>
      </c>
      <c r="F686" s="14">
        <f>_xlfn.XLOOKUP(E686,'Pontos de Partida'!B:B,'Pontos de Partida'!A:A)</f>
        <v>6</v>
      </c>
    </row>
    <row r="687" spans="1:6" x14ac:dyDescent="0.3">
      <c r="A687" s="14">
        <f t="shared" si="9"/>
        <v>61</v>
      </c>
      <c r="B687" s="15" t="s">
        <v>160</v>
      </c>
      <c r="C687" s="14">
        <f>_xlfn.XLOOKUP(B687,'Produtos &amp; Marcas'!B:B,'Produtos &amp; Marcas'!A:A)</f>
        <v>25</v>
      </c>
      <c r="D687" s="14">
        <v>2</v>
      </c>
      <c r="E687" s="16" t="s">
        <v>212</v>
      </c>
      <c r="F687" s="14">
        <f>_xlfn.XLOOKUP(E687,'Pontos de Partida'!B:B,'Pontos de Partida'!A:A)</f>
        <v>6</v>
      </c>
    </row>
    <row r="688" spans="1:6" x14ac:dyDescent="0.3">
      <c r="A688" s="14">
        <f t="shared" si="9"/>
        <v>61</v>
      </c>
      <c r="B688" s="15" t="s">
        <v>196</v>
      </c>
      <c r="C688" s="14">
        <f>_xlfn.XLOOKUP(B688,'Produtos &amp; Marcas'!B:B,'Produtos &amp; Marcas'!A:A)</f>
        <v>10</v>
      </c>
      <c r="D688" s="14">
        <v>0.8</v>
      </c>
      <c r="E688" s="16" t="s">
        <v>212</v>
      </c>
      <c r="F688" s="14">
        <f>_xlfn.XLOOKUP(E688,'Pontos de Partida'!B:B,'Pontos de Partida'!A:A)</f>
        <v>6</v>
      </c>
    </row>
    <row r="689" spans="1:6" x14ac:dyDescent="0.3">
      <c r="A689" s="14">
        <f t="shared" si="9"/>
        <v>61</v>
      </c>
      <c r="B689" s="15" t="s">
        <v>204</v>
      </c>
      <c r="C689" s="14">
        <f>_xlfn.XLOOKUP(B689,'Produtos &amp; Marcas'!B:B,'Produtos &amp; Marcas'!A:A)</f>
        <v>35</v>
      </c>
      <c r="D689" s="14">
        <v>0.2</v>
      </c>
      <c r="E689" s="16" t="s">
        <v>212</v>
      </c>
      <c r="F689" s="14">
        <f>_xlfn.XLOOKUP(E689,'Pontos de Partida'!B:B,'Pontos de Partida'!A:A)</f>
        <v>6</v>
      </c>
    </row>
    <row r="690" spans="1:6" x14ac:dyDescent="0.3">
      <c r="A690" s="14">
        <f t="shared" si="9"/>
        <v>61</v>
      </c>
      <c r="B690" s="15" t="s">
        <v>194</v>
      </c>
      <c r="C690" s="14">
        <f>_xlfn.XLOOKUP(B690,'Produtos &amp; Marcas'!B:B,'Produtos &amp; Marcas'!A:A)</f>
        <v>32</v>
      </c>
      <c r="D690" s="14">
        <v>1</v>
      </c>
      <c r="E690" s="16" t="s">
        <v>212</v>
      </c>
      <c r="F690" s="14">
        <f>_xlfn.XLOOKUP(E690,'Pontos de Partida'!B:B,'Pontos de Partida'!A:A)</f>
        <v>6</v>
      </c>
    </row>
    <row r="691" spans="1:6" x14ac:dyDescent="0.3">
      <c r="A691" s="14">
        <f t="shared" si="9"/>
        <v>61</v>
      </c>
      <c r="B691" s="15" t="s">
        <v>195</v>
      </c>
      <c r="C691" s="14">
        <f>_xlfn.XLOOKUP(B691,'Produtos &amp; Marcas'!B:B,'Produtos &amp; Marcas'!A:A)</f>
        <v>21</v>
      </c>
      <c r="D691" s="14">
        <v>1</v>
      </c>
      <c r="E691" s="16" t="s">
        <v>212</v>
      </c>
      <c r="F691" s="14">
        <f>_xlfn.XLOOKUP(E691,'Pontos de Partida'!B:B,'Pontos de Partida'!A:A)</f>
        <v>6</v>
      </c>
    </row>
    <row r="692" spans="1:6" x14ac:dyDescent="0.3">
      <c r="A692" s="14">
        <f t="shared" si="9"/>
        <v>61</v>
      </c>
      <c r="B692" s="15" t="s">
        <v>161</v>
      </c>
      <c r="C692" s="14">
        <f>_xlfn.XLOOKUP(B692,'Produtos &amp; Marcas'!B:B,'Produtos &amp; Marcas'!A:A)</f>
        <v>38</v>
      </c>
      <c r="D692" s="14">
        <v>0.5</v>
      </c>
      <c r="E692" s="16" t="s">
        <v>212</v>
      </c>
      <c r="F692" s="14">
        <f>_xlfn.XLOOKUP(E692,'Pontos de Partida'!B:B,'Pontos de Partida'!A:A)</f>
        <v>6</v>
      </c>
    </row>
    <row r="693" spans="1:6" x14ac:dyDescent="0.3">
      <c r="A693" s="14">
        <f t="shared" si="9"/>
        <v>61</v>
      </c>
      <c r="B693" s="15" t="s">
        <v>191</v>
      </c>
      <c r="C693" s="14">
        <f>_xlfn.XLOOKUP(B693,'Produtos &amp; Marcas'!B:B,'Produtos &amp; Marcas'!A:A)</f>
        <v>24</v>
      </c>
      <c r="D693" s="14">
        <v>3</v>
      </c>
      <c r="E693" s="16" t="s">
        <v>212</v>
      </c>
      <c r="F693" s="14">
        <f>_xlfn.XLOOKUP(E693,'Pontos de Partida'!B:B,'Pontos de Partida'!A:A)</f>
        <v>6</v>
      </c>
    </row>
    <row r="694" spans="1:6" x14ac:dyDescent="0.3">
      <c r="A694" s="14">
        <f t="shared" si="9"/>
        <v>61</v>
      </c>
      <c r="B694" s="15" t="s">
        <v>153</v>
      </c>
      <c r="C694" s="14">
        <f>_xlfn.XLOOKUP(B694,'Produtos &amp; Marcas'!B:B,'Produtos &amp; Marcas'!A:A)</f>
        <v>13</v>
      </c>
      <c r="D694" s="14">
        <v>1</v>
      </c>
      <c r="E694" s="16" t="s">
        <v>212</v>
      </c>
      <c r="F694" s="14">
        <f>_xlfn.XLOOKUP(E694,'Pontos de Partida'!B:B,'Pontos de Partida'!A:A)</f>
        <v>6</v>
      </c>
    </row>
    <row r="695" spans="1:6" x14ac:dyDescent="0.3">
      <c r="A695" s="14">
        <f t="shared" si="9"/>
        <v>61</v>
      </c>
      <c r="B695" s="15" t="s">
        <v>163</v>
      </c>
      <c r="C695" s="14">
        <f>_xlfn.XLOOKUP(B695,'Produtos &amp; Marcas'!B:B,'Produtos &amp; Marcas'!A:A)</f>
        <v>7</v>
      </c>
      <c r="D695" s="14">
        <v>0.4</v>
      </c>
      <c r="E695" s="16" t="s">
        <v>212</v>
      </c>
      <c r="F695" s="14">
        <f>_xlfn.XLOOKUP(E695,'Pontos de Partida'!B:B,'Pontos de Partida'!A:A)</f>
        <v>6</v>
      </c>
    </row>
    <row r="696" spans="1:6" x14ac:dyDescent="0.3">
      <c r="A696" s="14">
        <f t="shared" si="9"/>
        <v>61</v>
      </c>
      <c r="B696" s="15" t="s">
        <v>198</v>
      </c>
      <c r="C696" s="14">
        <f>_xlfn.XLOOKUP(B696,'Produtos &amp; Marcas'!B:B,'Produtos &amp; Marcas'!A:A)</f>
        <v>6</v>
      </c>
      <c r="D696" s="14">
        <v>3</v>
      </c>
      <c r="E696" s="16" t="s">
        <v>212</v>
      </c>
      <c r="F696" s="14">
        <f>_xlfn.XLOOKUP(E696,'Pontos de Partida'!B:B,'Pontos de Partida'!A:A)</f>
        <v>6</v>
      </c>
    </row>
    <row r="697" spans="1:6" x14ac:dyDescent="0.3">
      <c r="A697" s="14">
        <f t="shared" si="9"/>
        <v>61</v>
      </c>
      <c r="B697" s="15" t="s">
        <v>197</v>
      </c>
      <c r="C697" s="14">
        <f>_xlfn.XLOOKUP(B697,'Produtos &amp; Marcas'!B:B,'Produtos &amp; Marcas'!A:A)</f>
        <v>29</v>
      </c>
      <c r="D697" s="14">
        <v>1</v>
      </c>
      <c r="E697" s="16" t="s">
        <v>212</v>
      </c>
      <c r="F697" s="14">
        <f>_xlfn.XLOOKUP(E697,'Pontos de Partida'!B:B,'Pontos de Partida'!A:A)</f>
        <v>6</v>
      </c>
    </row>
    <row r="698" spans="1:6" x14ac:dyDescent="0.3">
      <c r="A698" s="14">
        <f t="shared" si="9"/>
        <v>61</v>
      </c>
      <c r="B698" s="15" t="s">
        <v>155</v>
      </c>
      <c r="C698" s="14">
        <f>_xlfn.XLOOKUP(B698,'Produtos &amp; Marcas'!B:B,'Produtos &amp; Marcas'!A:A)</f>
        <v>3</v>
      </c>
      <c r="D698" s="14">
        <v>2</v>
      </c>
      <c r="E698" s="16" t="s">
        <v>212</v>
      </c>
      <c r="F698" s="14">
        <f>_xlfn.XLOOKUP(E698,'Pontos de Partida'!B:B,'Pontos de Partida'!A:A)</f>
        <v>6</v>
      </c>
    </row>
    <row r="699" spans="1:6" x14ac:dyDescent="0.3">
      <c r="A699" s="14">
        <f t="shared" si="9"/>
        <v>62</v>
      </c>
      <c r="B699" s="15" t="s">
        <v>153</v>
      </c>
      <c r="C699" s="14">
        <f>_xlfn.XLOOKUP(B699,'Produtos &amp; Marcas'!B:B,'Produtos &amp; Marcas'!A:A)</f>
        <v>13</v>
      </c>
      <c r="D699" s="14">
        <v>1</v>
      </c>
      <c r="E699" s="16" t="s">
        <v>212</v>
      </c>
      <c r="F699" s="14">
        <f>_xlfn.XLOOKUP(E699,'Pontos de Partida'!B:B,'Pontos de Partida'!A:A)</f>
        <v>6</v>
      </c>
    </row>
    <row r="700" spans="1:6" x14ac:dyDescent="0.3">
      <c r="A700" s="14">
        <f t="shared" si="9"/>
        <v>62</v>
      </c>
      <c r="B700" s="15" t="s">
        <v>146</v>
      </c>
      <c r="C700" s="14">
        <f>_xlfn.XLOOKUP(B700,'Produtos &amp; Marcas'!B:B,'Produtos &amp; Marcas'!A:A)</f>
        <v>4</v>
      </c>
      <c r="D700" s="14">
        <v>3</v>
      </c>
      <c r="E700" s="16" t="s">
        <v>212</v>
      </c>
      <c r="F700" s="14">
        <f>_xlfn.XLOOKUP(E700,'Pontos de Partida'!B:B,'Pontos de Partida'!A:A)</f>
        <v>6</v>
      </c>
    </row>
    <row r="701" spans="1:6" x14ac:dyDescent="0.3">
      <c r="A701" s="14">
        <f t="shared" si="9"/>
        <v>62</v>
      </c>
      <c r="B701" s="15" t="s">
        <v>199</v>
      </c>
      <c r="C701" s="14">
        <f>_xlfn.XLOOKUP(B701,'Produtos &amp; Marcas'!B:B,'Produtos &amp; Marcas'!A:A)</f>
        <v>23</v>
      </c>
      <c r="D701" s="14">
        <v>3</v>
      </c>
      <c r="E701" s="16" t="s">
        <v>212</v>
      </c>
      <c r="F701" s="14">
        <f>_xlfn.XLOOKUP(E701,'Pontos de Partida'!B:B,'Pontos de Partida'!A:A)</f>
        <v>6</v>
      </c>
    </row>
    <row r="702" spans="1:6" x14ac:dyDescent="0.3">
      <c r="A702" s="14">
        <f t="shared" si="9"/>
        <v>62</v>
      </c>
      <c r="B702" s="15" t="s">
        <v>200</v>
      </c>
      <c r="C702" s="14">
        <f>_xlfn.XLOOKUP(B702,'Produtos &amp; Marcas'!B:B,'Produtos &amp; Marcas'!A:A)</f>
        <v>27</v>
      </c>
      <c r="D702" s="14">
        <v>2</v>
      </c>
      <c r="E702" s="16" t="s">
        <v>212</v>
      </c>
      <c r="F702" s="14">
        <f>_xlfn.XLOOKUP(E702,'Pontos de Partida'!B:B,'Pontos de Partida'!A:A)</f>
        <v>6</v>
      </c>
    </row>
    <row r="703" spans="1:6" x14ac:dyDescent="0.3">
      <c r="A703" s="14">
        <f t="shared" si="9"/>
        <v>62</v>
      </c>
      <c r="B703" s="15" t="s">
        <v>158</v>
      </c>
      <c r="C703" s="14">
        <f>_xlfn.XLOOKUP(B703,'Produtos &amp; Marcas'!B:B,'Produtos &amp; Marcas'!A:A)</f>
        <v>2</v>
      </c>
      <c r="D703" s="14">
        <v>2</v>
      </c>
      <c r="E703" s="16" t="s">
        <v>212</v>
      </c>
      <c r="F703" s="14">
        <f>_xlfn.XLOOKUP(E703,'Pontos de Partida'!B:B,'Pontos de Partida'!A:A)</f>
        <v>6</v>
      </c>
    </row>
    <row r="704" spans="1:6" x14ac:dyDescent="0.3">
      <c r="A704" s="14">
        <f t="shared" si="9"/>
        <v>63</v>
      </c>
      <c r="B704" s="15" t="s">
        <v>206</v>
      </c>
      <c r="C704" s="14">
        <f>_xlfn.XLOOKUP(B704,'Produtos &amp; Marcas'!B:B,'Produtos &amp; Marcas'!A:A)</f>
        <v>18</v>
      </c>
      <c r="D704" s="14">
        <v>1.5</v>
      </c>
      <c r="E704" s="16" t="s">
        <v>212</v>
      </c>
      <c r="F704" s="14">
        <f>_xlfn.XLOOKUP(E704,'Pontos de Partida'!B:B,'Pontos de Partida'!A:A)</f>
        <v>6</v>
      </c>
    </row>
    <row r="705" spans="1:6" x14ac:dyDescent="0.3">
      <c r="A705" s="14">
        <f t="shared" si="9"/>
        <v>63</v>
      </c>
      <c r="B705" s="15" t="s">
        <v>154</v>
      </c>
      <c r="C705" s="14">
        <f>_xlfn.XLOOKUP(B705,'Produtos &amp; Marcas'!B:B,'Produtos &amp; Marcas'!A:A)</f>
        <v>22</v>
      </c>
      <c r="D705" s="14">
        <v>3</v>
      </c>
      <c r="E705" s="16" t="s">
        <v>212</v>
      </c>
      <c r="F705" s="14">
        <f>_xlfn.XLOOKUP(E705,'Pontos de Partida'!B:B,'Pontos de Partida'!A:A)</f>
        <v>6</v>
      </c>
    </row>
    <row r="706" spans="1:6" x14ac:dyDescent="0.3">
      <c r="A706" s="14">
        <f t="shared" si="9"/>
        <v>63</v>
      </c>
      <c r="B706" s="15" t="s">
        <v>151</v>
      </c>
      <c r="C706" s="14">
        <f>_xlfn.XLOOKUP(B706,'Produtos &amp; Marcas'!B:B,'Produtos &amp; Marcas'!A:A)</f>
        <v>5</v>
      </c>
      <c r="D706" s="14">
        <v>3</v>
      </c>
      <c r="E706" s="16" t="s">
        <v>212</v>
      </c>
      <c r="F706" s="14">
        <f>_xlfn.XLOOKUP(E706,'Pontos de Partida'!B:B,'Pontos de Partida'!A:A)</f>
        <v>6</v>
      </c>
    </row>
    <row r="707" spans="1:6" x14ac:dyDescent="0.3">
      <c r="A707" s="14">
        <f t="shared" si="9"/>
        <v>63</v>
      </c>
      <c r="B707" s="15" t="s">
        <v>190</v>
      </c>
      <c r="C707" s="14">
        <f>_xlfn.XLOOKUP(B707,'Produtos &amp; Marcas'!B:B,'Produtos &amp; Marcas'!A:A)</f>
        <v>19</v>
      </c>
      <c r="D707" s="14">
        <v>1</v>
      </c>
      <c r="E707" s="16" t="s">
        <v>212</v>
      </c>
      <c r="F707" s="14">
        <f>_xlfn.XLOOKUP(E707,'Pontos de Partida'!B:B,'Pontos de Partida'!A:A)</f>
        <v>6</v>
      </c>
    </row>
    <row r="708" spans="1:6" x14ac:dyDescent="0.3">
      <c r="A708" s="14">
        <f t="shared" si="9"/>
        <v>64</v>
      </c>
      <c r="B708" s="15" t="s">
        <v>204</v>
      </c>
      <c r="C708" s="14">
        <f>_xlfn.XLOOKUP(B708,'Produtos &amp; Marcas'!B:B,'Produtos &amp; Marcas'!A:A)</f>
        <v>35</v>
      </c>
      <c r="D708" s="14">
        <v>0.2</v>
      </c>
      <c r="E708" s="16" t="s">
        <v>212</v>
      </c>
      <c r="F708" s="14">
        <f>_xlfn.XLOOKUP(E708,'Pontos de Partida'!B:B,'Pontos de Partida'!A:A)</f>
        <v>6</v>
      </c>
    </row>
    <row r="709" spans="1:6" x14ac:dyDescent="0.3">
      <c r="A709" s="14">
        <f t="shared" si="9"/>
        <v>64</v>
      </c>
      <c r="B709" s="15" t="s">
        <v>203</v>
      </c>
      <c r="C709" s="14">
        <f>_xlfn.XLOOKUP(B709,'Produtos &amp; Marcas'!B:B,'Produtos &amp; Marcas'!A:A)</f>
        <v>30</v>
      </c>
      <c r="D709" s="14">
        <v>1</v>
      </c>
      <c r="E709" s="16" t="s">
        <v>212</v>
      </c>
      <c r="F709" s="14">
        <f>_xlfn.XLOOKUP(E709,'Pontos de Partida'!B:B,'Pontos de Partida'!A:A)</f>
        <v>6</v>
      </c>
    </row>
    <row r="710" spans="1:6" x14ac:dyDescent="0.3">
      <c r="A710" s="14">
        <f t="shared" si="9"/>
        <v>64</v>
      </c>
      <c r="B710" s="15" t="s">
        <v>159</v>
      </c>
      <c r="C710" s="14">
        <f>_xlfn.XLOOKUP(B710,'Produtos &amp; Marcas'!B:B,'Produtos &amp; Marcas'!A:A)</f>
        <v>17</v>
      </c>
      <c r="D710" s="14">
        <v>1.5</v>
      </c>
      <c r="E710" s="16" t="s">
        <v>212</v>
      </c>
      <c r="F710" s="14">
        <f>_xlfn.XLOOKUP(E710,'Pontos de Partida'!B:B,'Pontos de Partida'!A:A)</f>
        <v>6</v>
      </c>
    </row>
    <row r="711" spans="1:6" x14ac:dyDescent="0.3">
      <c r="A711" s="14">
        <f t="shared" si="9"/>
        <v>64</v>
      </c>
      <c r="B711" s="15" t="s">
        <v>161</v>
      </c>
      <c r="C711" s="14">
        <f>_xlfn.XLOOKUP(B711,'Produtos &amp; Marcas'!B:B,'Produtos &amp; Marcas'!A:A)</f>
        <v>38</v>
      </c>
      <c r="D711" s="14">
        <v>0.5</v>
      </c>
      <c r="E711" s="16" t="s">
        <v>212</v>
      </c>
      <c r="F711" s="14">
        <f>_xlfn.XLOOKUP(E711,'Pontos de Partida'!B:B,'Pontos de Partida'!A:A)</f>
        <v>6</v>
      </c>
    </row>
    <row r="712" spans="1:6" x14ac:dyDescent="0.3">
      <c r="A712" s="14">
        <f t="shared" si="9"/>
        <v>65</v>
      </c>
      <c r="B712" s="15" t="s">
        <v>156</v>
      </c>
      <c r="C712" s="14">
        <f>_xlfn.XLOOKUP(B712,'Produtos &amp; Marcas'!B:B,'Produtos &amp; Marcas'!A:A)</f>
        <v>12</v>
      </c>
      <c r="D712" s="14">
        <v>0.8</v>
      </c>
      <c r="E712" s="16" t="s">
        <v>212</v>
      </c>
      <c r="F712" s="14">
        <f>_xlfn.XLOOKUP(E712,'Pontos de Partida'!B:B,'Pontos de Partida'!A:A)</f>
        <v>6</v>
      </c>
    </row>
    <row r="713" spans="1:6" x14ac:dyDescent="0.3">
      <c r="A713" s="14">
        <f t="shared" si="9"/>
        <v>65</v>
      </c>
      <c r="B713" s="15" t="s">
        <v>150</v>
      </c>
      <c r="C713" s="14">
        <f>_xlfn.XLOOKUP(B713,'Produtos &amp; Marcas'!B:B,'Produtos &amp; Marcas'!A:A)</f>
        <v>37</v>
      </c>
      <c r="D713" s="14">
        <v>0.5</v>
      </c>
      <c r="E713" s="16" t="s">
        <v>212</v>
      </c>
      <c r="F713" s="14">
        <f>_xlfn.XLOOKUP(E713,'Pontos de Partida'!B:B,'Pontos de Partida'!A:A)</f>
        <v>6</v>
      </c>
    </row>
    <row r="714" spans="1:6" x14ac:dyDescent="0.3">
      <c r="A714" s="14">
        <f t="shared" si="9"/>
        <v>65</v>
      </c>
      <c r="B714" s="15" t="s">
        <v>155</v>
      </c>
      <c r="C714" s="14">
        <f>_xlfn.XLOOKUP(B714,'Produtos &amp; Marcas'!B:B,'Produtos &amp; Marcas'!A:A)</f>
        <v>3</v>
      </c>
      <c r="D714" s="14">
        <v>2</v>
      </c>
      <c r="E714" s="16" t="s">
        <v>212</v>
      </c>
      <c r="F714" s="14">
        <f>_xlfn.XLOOKUP(E714,'Pontos de Partida'!B:B,'Pontos de Partida'!A:A)</f>
        <v>6</v>
      </c>
    </row>
    <row r="715" spans="1:6" x14ac:dyDescent="0.3">
      <c r="A715" s="14">
        <f t="shared" si="9"/>
        <v>65</v>
      </c>
      <c r="B715" s="15" t="s">
        <v>198</v>
      </c>
      <c r="C715" s="14">
        <f>_xlfn.XLOOKUP(B715,'Produtos &amp; Marcas'!B:B,'Produtos &amp; Marcas'!A:A)</f>
        <v>6</v>
      </c>
      <c r="D715" s="14">
        <v>3</v>
      </c>
      <c r="E715" s="16" t="s">
        <v>212</v>
      </c>
      <c r="F715" s="14">
        <f>_xlfn.XLOOKUP(E715,'Pontos de Partida'!B:B,'Pontos de Partida'!A:A)</f>
        <v>6</v>
      </c>
    </row>
    <row r="716" spans="1:6" x14ac:dyDescent="0.3">
      <c r="A716" s="14">
        <f t="shared" si="9"/>
        <v>65</v>
      </c>
      <c r="B716" s="15" t="s">
        <v>194</v>
      </c>
      <c r="C716" s="14">
        <f>_xlfn.XLOOKUP(B716,'Produtos &amp; Marcas'!B:B,'Produtos &amp; Marcas'!A:A)</f>
        <v>32</v>
      </c>
      <c r="D716" s="14">
        <v>1</v>
      </c>
      <c r="E716" s="16" t="s">
        <v>212</v>
      </c>
      <c r="F716" s="14">
        <f>_xlfn.XLOOKUP(E716,'Pontos de Partida'!B:B,'Pontos de Partida'!A:A)</f>
        <v>6</v>
      </c>
    </row>
    <row r="717" spans="1:6" x14ac:dyDescent="0.3">
      <c r="A717" s="14">
        <f t="shared" si="9"/>
        <v>65</v>
      </c>
      <c r="B717" s="15" t="s">
        <v>153</v>
      </c>
      <c r="C717" s="14">
        <f>_xlfn.XLOOKUP(B717,'Produtos &amp; Marcas'!B:B,'Produtos &amp; Marcas'!A:A)</f>
        <v>13</v>
      </c>
      <c r="D717" s="14">
        <v>1</v>
      </c>
      <c r="E717" s="16" t="s">
        <v>212</v>
      </c>
      <c r="F717" s="14">
        <f>_xlfn.XLOOKUP(E717,'Pontos de Partida'!B:B,'Pontos de Partida'!A:A)</f>
        <v>6</v>
      </c>
    </row>
    <row r="718" spans="1:6" x14ac:dyDescent="0.3">
      <c r="A718" s="14">
        <f t="shared" si="9"/>
        <v>65</v>
      </c>
      <c r="B718" s="15" t="s">
        <v>192</v>
      </c>
      <c r="C718" s="14">
        <f>_xlfn.XLOOKUP(B718,'Produtos &amp; Marcas'!B:B,'Produtos &amp; Marcas'!A:A)</f>
        <v>28</v>
      </c>
      <c r="D718" s="14">
        <v>1</v>
      </c>
      <c r="E718" s="16" t="s">
        <v>212</v>
      </c>
      <c r="F718" s="14">
        <f>_xlfn.XLOOKUP(E718,'Pontos de Partida'!B:B,'Pontos de Partida'!A:A)</f>
        <v>6</v>
      </c>
    </row>
    <row r="719" spans="1:6" x14ac:dyDescent="0.3">
      <c r="A719" s="14">
        <f t="shared" ref="A719:A782" si="10">A627+11</f>
        <v>65</v>
      </c>
      <c r="B719" s="15" t="s">
        <v>193</v>
      </c>
      <c r="C719" s="14">
        <f>_xlfn.XLOOKUP(B719,'Produtos &amp; Marcas'!B:B,'Produtos &amp; Marcas'!A:A)</f>
        <v>34</v>
      </c>
      <c r="D719" s="14">
        <v>0.2</v>
      </c>
      <c r="E719" s="16" t="s">
        <v>212</v>
      </c>
      <c r="F719" s="14">
        <f>_xlfn.XLOOKUP(E719,'Pontos de Partida'!B:B,'Pontos de Partida'!A:A)</f>
        <v>6</v>
      </c>
    </row>
    <row r="720" spans="1:6" x14ac:dyDescent="0.3">
      <c r="A720" s="14">
        <f t="shared" si="10"/>
        <v>65</v>
      </c>
      <c r="B720" s="15" t="s">
        <v>190</v>
      </c>
      <c r="C720" s="14">
        <f>_xlfn.XLOOKUP(B720,'Produtos &amp; Marcas'!B:B,'Produtos &amp; Marcas'!A:A)</f>
        <v>19</v>
      </c>
      <c r="D720" s="14">
        <v>1</v>
      </c>
      <c r="E720" s="16" t="s">
        <v>212</v>
      </c>
      <c r="F720" s="14">
        <f>_xlfn.XLOOKUP(E720,'Pontos de Partida'!B:B,'Pontos de Partida'!A:A)</f>
        <v>6</v>
      </c>
    </row>
    <row r="721" spans="1:6" x14ac:dyDescent="0.3">
      <c r="A721" s="14">
        <f t="shared" si="10"/>
        <v>65</v>
      </c>
      <c r="B721" s="15" t="s">
        <v>200</v>
      </c>
      <c r="C721" s="14">
        <f>_xlfn.XLOOKUP(B721,'Produtos &amp; Marcas'!B:B,'Produtos &amp; Marcas'!A:A)</f>
        <v>27</v>
      </c>
      <c r="D721" s="14">
        <v>2</v>
      </c>
      <c r="E721" s="16" t="s">
        <v>212</v>
      </c>
      <c r="F721" s="14">
        <f>_xlfn.XLOOKUP(E721,'Pontos de Partida'!B:B,'Pontos de Partida'!A:A)</f>
        <v>6</v>
      </c>
    </row>
    <row r="722" spans="1:6" x14ac:dyDescent="0.3">
      <c r="A722" s="14">
        <f t="shared" si="10"/>
        <v>66</v>
      </c>
      <c r="B722" s="15" t="s">
        <v>148</v>
      </c>
      <c r="C722" s="14">
        <f>_xlfn.XLOOKUP(B722,'Produtos &amp; Marcas'!B:B,'Produtos &amp; Marcas'!A:A)</f>
        <v>14</v>
      </c>
      <c r="D722" s="14">
        <v>1</v>
      </c>
      <c r="E722" s="16" t="s">
        <v>212</v>
      </c>
      <c r="F722" s="14">
        <f>_xlfn.XLOOKUP(E722,'Pontos de Partida'!B:B,'Pontos de Partida'!A:A)</f>
        <v>6</v>
      </c>
    </row>
    <row r="723" spans="1:6" x14ac:dyDescent="0.3">
      <c r="A723" s="14">
        <f t="shared" si="10"/>
        <v>66</v>
      </c>
      <c r="B723" s="15" t="s">
        <v>199</v>
      </c>
      <c r="C723" s="14">
        <f>_xlfn.XLOOKUP(B723,'Produtos &amp; Marcas'!B:B,'Produtos &amp; Marcas'!A:A)</f>
        <v>23</v>
      </c>
      <c r="D723" s="14">
        <v>3</v>
      </c>
      <c r="E723" s="16" t="s">
        <v>212</v>
      </c>
      <c r="F723" s="14">
        <f>_xlfn.XLOOKUP(E723,'Pontos de Partida'!B:B,'Pontos de Partida'!A:A)</f>
        <v>6</v>
      </c>
    </row>
    <row r="724" spans="1:6" x14ac:dyDescent="0.3">
      <c r="A724" s="14">
        <f t="shared" si="10"/>
        <v>66</v>
      </c>
      <c r="B724" s="15" t="s">
        <v>207</v>
      </c>
      <c r="C724" s="14">
        <f>_xlfn.XLOOKUP(B724,'Produtos &amp; Marcas'!B:B,'Produtos &amp; Marcas'!A:A)</f>
        <v>36</v>
      </c>
      <c r="D724" s="14">
        <v>0.2</v>
      </c>
      <c r="E724" s="16" t="s">
        <v>212</v>
      </c>
      <c r="F724" s="14">
        <f>_xlfn.XLOOKUP(E724,'Pontos de Partida'!B:B,'Pontos de Partida'!A:A)</f>
        <v>6</v>
      </c>
    </row>
    <row r="725" spans="1:6" x14ac:dyDescent="0.3">
      <c r="A725" s="14">
        <f t="shared" si="10"/>
        <v>66</v>
      </c>
      <c r="B725" s="15" t="s">
        <v>159</v>
      </c>
      <c r="C725" s="14">
        <f>_xlfn.XLOOKUP(B725,'Produtos &amp; Marcas'!B:B,'Produtos &amp; Marcas'!A:A)</f>
        <v>17</v>
      </c>
      <c r="D725" s="14">
        <v>1.5</v>
      </c>
      <c r="E725" s="16" t="s">
        <v>212</v>
      </c>
      <c r="F725" s="14">
        <f>_xlfn.XLOOKUP(E725,'Pontos de Partida'!B:B,'Pontos de Partida'!A:A)</f>
        <v>6</v>
      </c>
    </row>
    <row r="726" spans="1:6" x14ac:dyDescent="0.3">
      <c r="A726" s="14">
        <f t="shared" si="10"/>
        <v>66</v>
      </c>
      <c r="B726" s="15" t="s">
        <v>189</v>
      </c>
      <c r="C726" s="14">
        <f>_xlfn.XLOOKUP(B726,'Produtos &amp; Marcas'!B:B,'Produtos &amp; Marcas'!A:A)</f>
        <v>8</v>
      </c>
      <c r="D726" s="14">
        <v>0.4</v>
      </c>
      <c r="E726" s="16" t="s">
        <v>212</v>
      </c>
      <c r="F726" s="14">
        <f>_xlfn.XLOOKUP(E726,'Pontos de Partida'!B:B,'Pontos de Partida'!A:A)</f>
        <v>6</v>
      </c>
    </row>
    <row r="727" spans="1:6" x14ac:dyDescent="0.3">
      <c r="A727" s="14">
        <f t="shared" si="10"/>
        <v>66</v>
      </c>
      <c r="B727" s="15" t="s">
        <v>197</v>
      </c>
      <c r="C727" s="14">
        <f>_xlfn.XLOOKUP(B727,'Produtos &amp; Marcas'!B:B,'Produtos &amp; Marcas'!A:A)</f>
        <v>29</v>
      </c>
      <c r="D727" s="14">
        <v>1</v>
      </c>
      <c r="E727" s="16" t="s">
        <v>212</v>
      </c>
      <c r="F727" s="14">
        <f>_xlfn.XLOOKUP(E727,'Pontos de Partida'!B:B,'Pontos de Partida'!A:A)</f>
        <v>6</v>
      </c>
    </row>
    <row r="728" spans="1:6" x14ac:dyDescent="0.3">
      <c r="A728" s="14">
        <f t="shared" si="10"/>
        <v>66</v>
      </c>
      <c r="B728" s="15" t="s">
        <v>200</v>
      </c>
      <c r="C728" s="14">
        <f>_xlfn.XLOOKUP(B728,'Produtos &amp; Marcas'!B:B,'Produtos &amp; Marcas'!A:A)</f>
        <v>27</v>
      </c>
      <c r="D728" s="14">
        <v>2</v>
      </c>
      <c r="E728" s="16" t="s">
        <v>212</v>
      </c>
      <c r="F728" s="14">
        <f>_xlfn.XLOOKUP(E728,'Pontos de Partida'!B:B,'Pontos de Partida'!A:A)</f>
        <v>6</v>
      </c>
    </row>
    <row r="729" spans="1:6" x14ac:dyDescent="0.3">
      <c r="A729" s="14">
        <f t="shared" si="10"/>
        <v>66</v>
      </c>
      <c r="B729" s="15" t="s">
        <v>158</v>
      </c>
      <c r="C729" s="14">
        <f>_xlfn.XLOOKUP(B729,'Produtos &amp; Marcas'!B:B,'Produtos &amp; Marcas'!A:A)</f>
        <v>2</v>
      </c>
      <c r="D729" s="14">
        <v>2</v>
      </c>
      <c r="E729" s="16" t="s">
        <v>212</v>
      </c>
      <c r="F729" s="14">
        <f>_xlfn.XLOOKUP(E729,'Pontos de Partida'!B:B,'Pontos de Partida'!A:A)</f>
        <v>6</v>
      </c>
    </row>
    <row r="730" spans="1:6" x14ac:dyDescent="0.3">
      <c r="A730" s="14">
        <f t="shared" si="10"/>
        <v>67</v>
      </c>
      <c r="B730" s="15" t="s">
        <v>198</v>
      </c>
      <c r="C730" s="14">
        <f>_xlfn.XLOOKUP(B730,'Produtos &amp; Marcas'!B:B,'Produtos &amp; Marcas'!A:A)</f>
        <v>6</v>
      </c>
      <c r="D730" s="14">
        <v>3</v>
      </c>
      <c r="E730" s="16" t="s">
        <v>213</v>
      </c>
      <c r="F730" s="14">
        <f>_xlfn.XLOOKUP(E730,'Pontos de Partida'!B:B,'Pontos de Partida'!A:A)</f>
        <v>7</v>
      </c>
    </row>
    <row r="731" spans="1:6" x14ac:dyDescent="0.3">
      <c r="A731" s="14">
        <f t="shared" si="10"/>
        <v>67</v>
      </c>
      <c r="B731" s="15" t="s">
        <v>155</v>
      </c>
      <c r="C731" s="14">
        <f>_xlfn.XLOOKUP(B731,'Produtos &amp; Marcas'!B:B,'Produtos &amp; Marcas'!A:A)</f>
        <v>3</v>
      </c>
      <c r="D731" s="14">
        <v>2</v>
      </c>
      <c r="E731" s="16" t="s">
        <v>213</v>
      </c>
      <c r="F731" s="14">
        <f>_xlfn.XLOOKUP(E731,'Pontos de Partida'!B:B,'Pontos de Partida'!A:A)</f>
        <v>7</v>
      </c>
    </row>
    <row r="732" spans="1:6" x14ac:dyDescent="0.3">
      <c r="A732" s="14">
        <f t="shared" si="10"/>
        <v>67</v>
      </c>
      <c r="B732" s="15" t="s">
        <v>152</v>
      </c>
      <c r="C732" s="14">
        <f>_xlfn.XLOOKUP(B732,'Produtos &amp; Marcas'!B:B,'Produtos &amp; Marcas'!A:A)</f>
        <v>9</v>
      </c>
      <c r="D732" s="14">
        <v>0.4</v>
      </c>
      <c r="E732" s="16" t="s">
        <v>213</v>
      </c>
      <c r="F732" s="14">
        <f>_xlfn.XLOOKUP(E732,'Pontos de Partida'!B:B,'Pontos de Partida'!A:A)</f>
        <v>7</v>
      </c>
    </row>
    <row r="733" spans="1:6" x14ac:dyDescent="0.3">
      <c r="A733" s="14">
        <f t="shared" si="10"/>
        <v>67</v>
      </c>
      <c r="B733" s="15" t="s">
        <v>156</v>
      </c>
      <c r="C733" s="14">
        <f>_xlfn.XLOOKUP(B733,'Produtos &amp; Marcas'!B:B,'Produtos &amp; Marcas'!A:A)</f>
        <v>12</v>
      </c>
      <c r="D733" s="14">
        <v>0.8</v>
      </c>
      <c r="E733" s="16" t="s">
        <v>213</v>
      </c>
      <c r="F733" s="14">
        <f>_xlfn.XLOOKUP(E733,'Pontos de Partida'!B:B,'Pontos de Partida'!A:A)</f>
        <v>7</v>
      </c>
    </row>
    <row r="734" spans="1:6" x14ac:dyDescent="0.3">
      <c r="A734" s="14">
        <f t="shared" si="10"/>
        <v>67</v>
      </c>
      <c r="B734" s="15" t="s">
        <v>153</v>
      </c>
      <c r="C734" s="14">
        <f>_xlfn.XLOOKUP(B734,'Produtos &amp; Marcas'!B:B,'Produtos &amp; Marcas'!A:A)</f>
        <v>13</v>
      </c>
      <c r="D734" s="14">
        <v>1</v>
      </c>
      <c r="E734" s="16" t="s">
        <v>213</v>
      </c>
      <c r="F734" s="14">
        <f>_xlfn.XLOOKUP(E734,'Pontos de Partida'!B:B,'Pontos de Partida'!A:A)</f>
        <v>7</v>
      </c>
    </row>
    <row r="735" spans="1:6" x14ac:dyDescent="0.3">
      <c r="A735" s="14">
        <f t="shared" si="10"/>
        <v>67</v>
      </c>
      <c r="B735" s="15" t="s">
        <v>157</v>
      </c>
      <c r="C735" s="14">
        <f>_xlfn.XLOOKUP(B735,'Produtos &amp; Marcas'!B:B,'Produtos &amp; Marcas'!A:A)</f>
        <v>16</v>
      </c>
      <c r="D735" s="14">
        <v>1.5</v>
      </c>
      <c r="E735" s="16" t="s">
        <v>213</v>
      </c>
      <c r="F735" s="14">
        <f>_xlfn.XLOOKUP(E735,'Pontos de Partida'!B:B,'Pontos de Partida'!A:A)</f>
        <v>7</v>
      </c>
    </row>
    <row r="736" spans="1:6" x14ac:dyDescent="0.3">
      <c r="A736" s="14">
        <f t="shared" si="10"/>
        <v>67</v>
      </c>
      <c r="B736" s="15" t="s">
        <v>190</v>
      </c>
      <c r="C736" s="14">
        <f>_xlfn.XLOOKUP(B736,'Produtos &amp; Marcas'!B:B,'Produtos &amp; Marcas'!A:A)</f>
        <v>19</v>
      </c>
      <c r="D736" s="14">
        <v>1</v>
      </c>
      <c r="E736" s="16" t="s">
        <v>213</v>
      </c>
      <c r="F736" s="14">
        <f>_xlfn.XLOOKUP(E736,'Pontos de Partida'!B:B,'Pontos de Partida'!A:A)</f>
        <v>7</v>
      </c>
    </row>
    <row r="737" spans="1:6" x14ac:dyDescent="0.3">
      <c r="A737" s="14">
        <f t="shared" si="10"/>
        <v>67</v>
      </c>
      <c r="B737" s="15" t="s">
        <v>199</v>
      </c>
      <c r="C737" s="14">
        <f>_xlfn.XLOOKUP(B737,'Produtos &amp; Marcas'!B:B,'Produtos &amp; Marcas'!A:A)</f>
        <v>23</v>
      </c>
      <c r="D737" s="14">
        <v>3</v>
      </c>
      <c r="E737" s="16" t="s">
        <v>213</v>
      </c>
      <c r="F737" s="14">
        <f>_xlfn.XLOOKUP(E737,'Pontos de Partida'!B:B,'Pontos de Partida'!A:A)</f>
        <v>7</v>
      </c>
    </row>
    <row r="738" spans="1:6" x14ac:dyDescent="0.3">
      <c r="A738" s="14">
        <f t="shared" si="10"/>
        <v>67</v>
      </c>
      <c r="B738" s="15" t="s">
        <v>200</v>
      </c>
      <c r="C738" s="14">
        <f>_xlfn.XLOOKUP(B738,'Produtos &amp; Marcas'!B:B,'Produtos &amp; Marcas'!A:A)</f>
        <v>27</v>
      </c>
      <c r="D738" s="14">
        <v>2</v>
      </c>
      <c r="E738" s="16" t="s">
        <v>213</v>
      </c>
      <c r="F738" s="14">
        <f>_xlfn.XLOOKUP(E738,'Pontos de Partida'!B:B,'Pontos de Partida'!A:A)</f>
        <v>7</v>
      </c>
    </row>
    <row r="739" spans="1:6" x14ac:dyDescent="0.3">
      <c r="A739" s="14">
        <f t="shared" si="10"/>
        <v>67</v>
      </c>
      <c r="B739" s="15" t="s">
        <v>192</v>
      </c>
      <c r="C739" s="14">
        <f>_xlfn.XLOOKUP(B739,'Produtos &amp; Marcas'!B:B,'Produtos &amp; Marcas'!A:A)</f>
        <v>28</v>
      </c>
      <c r="D739" s="14">
        <v>1</v>
      </c>
      <c r="E739" s="16" t="s">
        <v>213</v>
      </c>
      <c r="F739" s="14">
        <f>_xlfn.XLOOKUP(E739,'Pontos de Partida'!B:B,'Pontos de Partida'!A:A)</f>
        <v>7</v>
      </c>
    </row>
    <row r="740" spans="1:6" x14ac:dyDescent="0.3">
      <c r="A740" s="14">
        <f t="shared" si="10"/>
        <v>67</v>
      </c>
      <c r="B740" s="15" t="s">
        <v>193</v>
      </c>
      <c r="C740" s="14">
        <f>_xlfn.XLOOKUP(B740,'Produtos &amp; Marcas'!B:B,'Produtos &amp; Marcas'!A:A)</f>
        <v>34</v>
      </c>
      <c r="D740" s="14">
        <v>0.2</v>
      </c>
      <c r="E740" s="16" t="s">
        <v>213</v>
      </c>
      <c r="F740" s="14">
        <f>_xlfn.XLOOKUP(E740,'Pontos de Partida'!B:B,'Pontos de Partida'!A:A)</f>
        <v>7</v>
      </c>
    </row>
    <row r="741" spans="1:6" x14ac:dyDescent="0.3">
      <c r="A741" s="14">
        <f t="shared" si="10"/>
        <v>67</v>
      </c>
      <c r="B741" s="15" t="s">
        <v>150</v>
      </c>
      <c r="C741" s="14">
        <f>_xlfn.XLOOKUP(B741,'Produtos &amp; Marcas'!B:B,'Produtos &amp; Marcas'!A:A)</f>
        <v>37</v>
      </c>
      <c r="D741" s="14">
        <v>0.5</v>
      </c>
      <c r="E741" s="16" t="s">
        <v>213</v>
      </c>
      <c r="F741" s="14">
        <f>_xlfn.XLOOKUP(E741,'Pontos de Partida'!B:B,'Pontos de Partida'!A:A)</f>
        <v>7</v>
      </c>
    </row>
    <row r="742" spans="1:6" x14ac:dyDescent="0.3">
      <c r="A742" s="14">
        <f t="shared" si="10"/>
        <v>67</v>
      </c>
      <c r="B742" s="15" t="s">
        <v>194</v>
      </c>
      <c r="C742" s="14">
        <f>_xlfn.XLOOKUP(B742,'Produtos &amp; Marcas'!B:B,'Produtos &amp; Marcas'!A:A)</f>
        <v>32</v>
      </c>
      <c r="D742" s="14">
        <v>1</v>
      </c>
      <c r="E742" s="16" t="s">
        <v>213</v>
      </c>
      <c r="F742" s="14">
        <f>_xlfn.XLOOKUP(E742,'Pontos de Partida'!B:B,'Pontos de Partida'!A:A)</f>
        <v>7</v>
      </c>
    </row>
    <row r="743" spans="1:6" x14ac:dyDescent="0.3">
      <c r="A743" s="14">
        <f t="shared" si="10"/>
        <v>68</v>
      </c>
      <c r="B743" s="15" t="s">
        <v>146</v>
      </c>
      <c r="C743" s="14">
        <f>_xlfn.XLOOKUP(B743,'Produtos &amp; Marcas'!B:B,'Produtos &amp; Marcas'!A:A)</f>
        <v>4</v>
      </c>
      <c r="D743" s="14">
        <v>3</v>
      </c>
      <c r="E743" s="16" t="s">
        <v>213</v>
      </c>
      <c r="F743" s="14">
        <f>_xlfn.XLOOKUP(E743,'Pontos de Partida'!B:B,'Pontos de Partida'!A:A)</f>
        <v>7</v>
      </c>
    </row>
    <row r="744" spans="1:6" x14ac:dyDescent="0.3">
      <c r="A744" s="14">
        <f t="shared" si="10"/>
        <v>68</v>
      </c>
      <c r="B744" s="15" t="s">
        <v>158</v>
      </c>
      <c r="C744" s="14">
        <f>_xlfn.XLOOKUP(B744,'Produtos &amp; Marcas'!B:B,'Produtos &amp; Marcas'!A:A)</f>
        <v>2</v>
      </c>
      <c r="D744" s="14">
        <v>2</v>
      </c>
      <c r="E744" s="16" t="s">
        <v>213</v>
      </c>
      <c r="F744" s="14">
        <f>_xlfn.XLOOKUP(E744,'Pontos de Partida'!B:B,'Pontos de Partida'!A:A)</f>
        <v>7</v>
      </c>
    </row>
    <row r="745" spans="1:6" x14ac:dyDescent="0.3">
      <c r="A745" s="14">
        <f t="shared" si="10"/>
        <v>68</v>
      </c>
      <c r="B745" s="15" t="s">
        <v>189</v>
      </c>
      <c r="C745" s="14">
        <f>_xlfn.XLOOKUP(B745,'Produtos &amp; Marcas'!B:B,'Produtos &amp; Marcas'!A:A)</f>
        <v>8</v>
      </c>
      <c r="D745" s="14">
        <v>0.4</v>
      </c>
      <c r="E745" s="16" t="s">
        <v>213</v>
      </c>
      <c r="F745" s="14">
        <f>_xlfn.XLOOKUP(E745,'Pontos de Partida'!B:B,'Pontos de Partida'!A:A)</f>
        <v>7</v>
      </c>
    </row>
    <row r="746" spans="1:6" x14ac:dyDescent="0.3">
      <c r="A746" s="14">
        <f t="shared" si="10"/>
        <v>68</v>
      </c>
      <c r="B746" s="15" t="s">
        <v>147</v>
      </c>
      <c r="C746" s="14">
        <f>_xlfn.XLOOKUP(B746,'Produtos &amp; Marcas'!B:B,'Produtos &amp; Marcas'!A:A)</f>
        <v>11</v>
      </c>
      <c r="D746" s="14">
        <v>0.8</v>
      </c>
      <c r="E746" s="16" t="s">
        <v>213</v>
      </c>
      <c r="F746" s="14">
        <f>_xlfn.XLOOKUP(E746,'Pontos de Partida'!B:B,'Pontos de Partida'!A:A)</f>
        <v>7</v>
      </c>
    </row>
    <row r="747" spans="1:6" x14ac:dyDescent="0.3">
      <c r="A747" s="14">
        <f t="shared" si="10"/>
        <v>68</v>
      </c>
      <c r="B747" s="15" t="s">
        <v>201</v>
      </c>
      <c r="C747" s="14">
        <f>_xlfn.XLOOKUP(B747,'Produtos &amp; Marcas'!B:B,'Produtos &amp; Marcas'!A:A)</f>
        <v>15</v>
      </c>
      <c r="D747" s="14">
        <v>1</v>
      </c>
      <c r="E747" s="16" t="s">
        <v>213</v>
      </c>
      <c r="F747" s="14">
        <f>_xlfn.XLOOKUP(E747,'Pontos de Partida'!B:B,'Pontos de Partida'!A:A)</f>
        <v>7</v>
      </c>
    </row>
    <row r="748" spans="1:6" x14ac:dyDescent="0.3">
      <c r="A748" s="14">
        <f t="shared" si="10"/>
        <v>68</v>
      </c>
      <c r="B748" s="15" t="s">
        <v>159</v>
      </c>
      <c r="C748" s="14">
        <f>_xlfn.XLOOKUP(B748,'Produtos &amp; Marcas'!B:B,'Produtos &amp; Marcas'!A:A)</f>
        <v>17</v>
      </c>
      <c r="D748" s="14">
        <v>1.5</v>
      </c>
      <c r="E748" s="16" t="s">
        <v>213</v>
      </c>
      <c r="F748" s="14">
        <f>_xlfn.XLOOKUP(E748,'Pontos de Partida'!B:B,'Pontos de Partida'!A:A)</f>
        <v>7</v>
      </c>
    </row>
    <row r="749" spans="1:6" x14ac:dyDescent="0.3">
      <c r="A749" s="14">
        <f t="shared" si="10"/>
        <v>68</v>
      </c>
      <c r="B749" s="15" t="s">
        <v>202</v>
      </c>
      <c r="C749" s="14">
        <f>_xlfn.XLOOKUP(B749,'Produtos &amp; Marcas'!B:B,'Produtos &amp; Marcas'!A:A)</f>
        <v>20</v>
      </c>
      <c r="D749" s="14">
        <v>1</v>
      </c>
      <c r="E749" s="16" t="s">
        <v>213</v>
      </c>
      <c r="F749" s="14">
        <f>_xlfn.XLOOKUP(E749,'Pontos de Partida'!B:B,'Pontos de Partida'!A:A)</f>
        <v>7</v>
      </c>
    </row>
    <row r="750" spans="1:6" x14ac:dyDescent="0.3">
      <c r="A750" s="14">
        <f t="shared" si="10"/>
        <v>68</v>
      </c>
      <c r="B750" s="15" t="s">
        <v>154</v>
      </c>
      <c r="C750" s="14">
        <f>_xlfn.XLOOKUP(B750,'Produtos &amp; Marcas'!B:B,'Produtos &amp; Marcas'!A:A)</f>
        <v>22</v>
      </c>
      <c r="D750" s="14">
        <v>3</v>
      </c>
      <c r="E750" s="16" t="s">
        <v>213</v>
      </c>
      <c r="F750" s="14">
        <f>_xlfn.XLOOKUP(E750,'Pontos de Partida'!B:B,'Pontos de Partida'!A:A)</f>
        <v>7</v>
      </c>
    </row>
    <row r="751" spans="1:6" x14ac:dyDescent="0.3">
      <c r="A751" s="14">
        <f t="shared" si="10"/>
        <v>68</v>
      </c>
      <c r="B751" s="15" t="s">
        <v>160</v>
      </c>
      <c r="C751" s="14">
        <f>_xlfn.XLOOKUP(B751,'Produtos &amp; Marcas'!B:B,'Produtos &amp; Marcas'!A:A)</f>
        <v>25</v>
      </c>
      <c r="D751" s="14">
        <v>2</v>
      </c>
      <c r="E751" s="16" t="s">
        <v>213</v>
      </c>
      <c r="F751" s="14">
        <f>_xlfn.XLOOKUP(E751,'Pontos de Partida'!B:B,'Pontos de Partida'!A:A)</f>
        <v>7</v>
      </c>
    </row>
    <row r="752" spans="1:6" x14ac:dyDescent="0.3">
      <c r="A752" s="14">
        <f t="shared" si="10"/>
        <v>68</v>
      </c>
      <c r="B752" s="15" t="s">
        <v>203</v>
      </c>
      <c r="C752" s="14">
        <f>_xlfn.XLOOKUP(B752,'Produtos &amp; Marcas'!B:B,'Produtos &amp; Marcas'!A:A)</f>
        <v>30</v>
      </c>
      <c r="D752" s="14">
        <v>1</v>
      </c>
      <c r="E752" s="16" t="s">
        <v>213</v>
      </c>
      <c r="F752" s="14">
        <f>_xlfn.XLOOKUP(E752,'Pontos de Partida'!B:B,'Pontos de Partida'!A:A)</f>
        <v>7</v>
      </c>
    </row>
    <row r="753" spans="1:6" x14ac:dyDescent="0.3">
      <c r="A753" s="14">
        <f t="shared" si="10"/>
        <v>68</v>
      </c>
      <c r="B753" s="15" t="s">
        <v>204</v>
      </c>
      <c r="C753" s="14">
        <f>_xlfn.XLOOKUP(B753,'Produtos &amp; Marcas'!B:B,'Produtos &amp; Marcas'!A:A)</f>
        <v>35</v>
      </c>
      <c r="D753" s="14">
        <v>0.2</v>
      </c>
      <c r="E753" s="16" t="s">
        <v>213</v>
      </c>
      <c r="F753" s="14">
        <f>_xlfn.XLOOKUP(E753,'Pontos de Partida'!B:B,'Pontos de Partida'!A:A)</f>
        <v>7</v>
      </c>
    </row>
    <row r="754" spans="1:6" x14ac:dyDescent="0.3">
      <c r="A754" s="14">
        <f t="shared" si="10"/>
        <v>68</v>
      </c>
      <c r="B754" s="15" t="s">
        <v>161</v>
      </c>
      <c r="C754" s="14">
        <f>_xlfn.XLOOKUP(B754,'Produtos &amp; Marcas'!B:B,'Produtos &amp; Marcas'!A:A)</f>
        <v>38</v>
      </c>
      <c r="D754" s="14">
        <v>0.5</v>
      </c>
      <c r="E754" s="16" t="s">
        <v>213</v>
      </c>
      <c r="F754" s="14">
        <f>_xlfn.XLOOKUP(E754,'Pontos de Partida'!B:B,'Pontos de Partida'!A:A)</f>
        <v>7</v>
      </c>
    </row>
    <row r="755" spans="1:6" x14ac:dyDescent="0.3">
      <c r="A755" s="14">
        <f t="shared" si="10"/>
        <v>68</v>
      </c>
      <c r="B755" s="15" t="s">
        <v>205</v>
      </c>
      <c r="C755" s="14">
        <f>_xlfn.XLOOKUP(B755,'Produtos &amp; Marcas'!B:B,'Produtos &amp; Marcas'!A:A)</f>
        <v>31</v>
      </c>
      <c r="D755" s="14">
        <v>1</v>
      </c>
      <c r="E755" s="16" t="s">
        <v>213</v>
      </c>
      <c r="F755" s="14">
        <f>_xlfn.XLOOKUP(E755,'Pontos de Partida'!B:B,'Pontos de Partida'!A:A)</f>
        <v>7</v>
      </c>
    </row>
    <row r="756" spans="1:6" x14ac:dyDescent="0.3">
      <c r="A756" s="14">
        <f t="shared" si="10"/>
        <v>69</v>
      </c>
      <c r="B756" s="15" t="s">
        <v>151</v>
      </c>
      <c r="C756" s="14">
        <f>_xlfn.XLOOKUP(B756,'Produtos &amp; Marcas'!B:B,'Produtos &amp; Marcas'!A:A)</f>
        <v>5</v>
      </c>
      <c r="D756" s="14">
        <v>3</v>
      </c>
      <c r="E756" s="16" t="s">
        <v>213</v>
      </c>
      <c r="F756" s="14">
        <f>_xlfn.XLOOKUP(E756,'Pontos de Partida'!B:B,'Pontos de Partida'!A:A)</f>
        <v>7</v>
      </c>
    </row>
    <row r="757" spans="1:6" x14ac:dyDescent="0.3">
      <c r="A757" s="14">
        <f t="shared" si="10"/>
        <v>69</v>
      </c>
      <c r="B757" s="15" t="s">
        <v>162</v>
      </c>
      <c r="C757" s="14">
        <f>_xlfn.XLOOKUP(B757,'Produtos &amp; Marcas'!B:B,'Produtos &amp; Marcas'!A:A)</f>
        <v>1</v>
      </c>
      <c r="D757" s="14">
        <v>2</v>
      </c>
      <c r="E757" s="16" t="s">
        <v>213</v>
      </c>
      <c r="F757" s="14">
        <f>_xlfn.XLOOKUP(E757,'Pontos de Partida'!B:B,'Pontos de Partida'!A:A)</f>
        <v>7</v>
      </c>
    </row>
    <row r="758" spans="1:6" x14ac:dyDescent="0.3">
      <c r="A758" s="14">
        <f t="shared" si="10"/>
        <v>69</v>
      </c>
      <c r="B758" s="15" t="s">
        <v>152</v>
      </c>
      <c r="C758" s="14">
        <f>_xlfn.XLOOKUP(B758,'Produtos &amp; Marcas'!B:B,'Produtos &amp; Marcas'!A:A)</f>
        <v>9</v>
      </c>
      <c r="D758" s="14">
        <v>0.4</v>
      </c>
      <c r="E758" s="16" t="s">
        <v>213</v>
      </c>
      <c r="F758" s="14">
        <f>_xlfn.XLOOKUP(E758,'Pontos de Partida'!B:B,'Pontos de Partida'!A:A)</f>
        <v>7</v>
      </c>
    </row>
    <row r="759" spans="1:6" x14ac:dyDescent="0.3">
      <c r="A759" s="14">
        <f t="shared" si="10"/>
        <v>69</v>
      </c>
      <c r="B759" s="15" t="s">
        <v>147</v>
      </c>
      <c r="C759" s="14">
        <f>_xlfn.XLOOKUP(B759,'Produtos &amp; Marcas'!B:B,'Produtos &amp; Marcas'!A:A)</f>
        <v>11</v>
      </c>
      <c r="D759" s="14">
        <v>0.8</v>
      </c>
      <c r="E759" s="16" t="s">
        <v>213</v>
      </c>
      <c r="F759" s="14">
        <f>_xlfn.XLOOKUP(E759,'Pontos de Partida'!B:B,'Pontos de Partida'!A:A)</f>
        <v>7</v>
      </c>
    </row>
    <row r="760" spans="1:6" x14ac:dyDescent="0.3">
      <c r="A760" s="14">
        <f t="shared" si="10"/>
        <v>69</v>
      </c>
      <c r="B760" s="15" t="s">
        <v>148</v>
      </c>
      <c r="C760" s="14">
        <f>_xlfn.XLOOKUP(B760,'Produtos &amp; Marcas'!B:B,'Produtos &amp; Marcas'!A:A)</f>
        <v>14</v>
      </c>
      <c r="D760" s="14">
        <v>1</v>
      </c>
      <c r="E760" s="16" t="s">
        <v>213</v>
      </c>
      <c r="F760" s="14">
        <f>_xlfn.XLOOKUP(E760,'Pontos de Partida'!B:B,'Pontos de Partida'!A:A)</f>
        <v>7</v>
      </c>
    </row>
    <row r="761" spans="1:6" x14ac:dyDescent="0.3">
      <c r="A761" s="14">
        <f t="shared" si="10"/>
        <v>69</v>
      </c>
      <c r="B761" s="15" t="s">
        <v>206</v>
      </c>
      <c r="C761" s="14">
        <f>_xlfn.XLOOKUP(B761,'Produtos &amp; Marcas'!B:B,'Produtos &amp; Marcas'!A:A)</f>
        <v>18</v>
      </c>
      <c r="D761" s="14">
        <v>1.5</v>
      </c>
      <c r="E761" s="16" t="s">
        <v>213</v>
      </c>
      <c r="F761" s="14">
        <f>_xlfn.XLOOKUP(E761,'Pontos de Partida'!B:B,'Pontos de Partida'!A:A)</f>
        <v>7</v>
      </c>
    </row>
    <row r="762" spans="1:6" x14ac:dyDescent="0.3">
      <c r="A762" s="14">
        <f t="shared" si="10"/>
        <v>69</v>
      </c>
      <c r="B762" s="15" t="s">
        <v>195</v>
      </c>
      <c r="C762" s="14">
        <f>_xlfn.XLOOKUP(B762,'Produtos &amp; Marcas'!B:B,'Produtos &amp; Marcas'!A:A)</f>
        <v>21</v>
      </c>
      <c r="D762" s="14">
        <v>1</v>
      </c>
      <c r="E762" s="16" t="s">
        <v>213</v>
      </c>
      <c r="F762" s="14">
        <f>_xlfn.XLOOKUP(E762,'Pontos de Partida'!B:B,'Pontos de Partida'!A:A)</f>
        <v>7</v>
      </c>
    </row>
    <row r="763" spans="1:6" x14ac:dyDescent="0.3">
      <c r="A763" s="14">
        <f t="shared" si="10"/>
        <v>69</v>
      </c>
      <c r="B763" s="15" t="s">
        <v>199</v>
      </c>
      <c r="C763" s="14">
        <f>_xlfn.XLOOKUP(B763,'Produtos &amp; Marcas'!B:B,'Produtos &amp; Marcas'!A:A)</f>
        <v>23</v>
      </c>
      <c r="D763" s="14">
        <v>3</v>
      </c>
      <c r="E763" s="16" t="s">
        <v>213</v>
      </c>
      <c r="F763" s="14">
        <f>_xlfn.XLOOKUP(E763,'Pontos de Partida'!B:B,'Pontos de Partida'!A:A)</f>
        <v>7</v>
      </c>
    </row>
    <row r="764" spans="1:6" x14ac:dyDescent="0.3">
      <c r="A764" s="14">
        <f t="shared" si="10"/>
        <v>69</v>
      </c>
      <c r="B764" s="15" t="s">
        <v>200</v>
      </c>
      <c r="C764" s="14">
        <f>_xlfn.XLOOKUP(B764,'Produtos &amp; Marcas'!B:B,'Produtos &amp; Marcas'!A:A)</f>
        <v>27</v>
      </c>
      <c r="D764" s="14">
        <v>2</v>
      </c>
      <c r="E764" s="16" t="s">
        <v>213</v>
      </c>
      <c r="F764" s="14">
        <f>_xlfn.XLOOKUP(E764,'Pontos de Partida'!B:B,'Pontos de Partida'!A:A)</f>
        <v>7</v>
      </c>
    </row>
    <row r="765" spans="1:6" x14ac:dyDescent="0.3">
      <c r="A765" s="14">
        <f t="shared" si="10"/>
        <v>69</v>
      </c>
      <c r="B765" s="15" t="s">
        <v>197</v>
      </c>
      <c r="C765" s="14">
        <f>_xlfn.XLOOKUP(B765,'Produtos &amp; Marcas'!B:B,'Produtos &amp; Marcas'!A:A)</f>
        <v>29</v>
      </c>
      <c r="D765" s="14">
        <v>1</v>
      </c>
      <c r="E765" s="16" t="s">
        <v>213</v>
      </c>
      <c r="F765" s="14">
        <f>_xlfn.XLOOKUP(E765,'Pontos de Partida'!B:B,'Pontos de Partida'!A:A)</f>
        <v>7</v>
      </c>
    </row>
    <row r="766" spans="1:6" x14ac:dyDescent="0.3">
      <c r="A766" s="14">
        <f t="shared" si="10"/>
        <v>69</v>
      </c>
      <c r="B766" s="15" t="s">
        <v>207</v>
      </c>
      <c r="C766" s="14">
        <f>_xlfn.XLOOKUP(B766,'Produtos &amp; Marcas'!B:B,'Produtos &amp; Marcas'!A:A)</f>
        <v>36</v>
      </c>
      <c r="D766" s="14">
        <v>0.2</v>
      </c>
      <c r="E766" s="16" t="s">
        <v>213</v>
      </c>
      <c r="F766" s="14">
        <f>_xlfn.XLOOKUP(E766,'Pontos de Partida'!B:B,'Pontos de Partida'!A:A)</f>
        <v>7</v>
      </c>
    </row>
    <row r="767" spans="1:6" x14ac:dyDescent="0.3">
      <c r="A767" s="14">
        <f t="shared" si="10"/>
        <v>69</v>
      </c>
      <c r="B767" s="15" t="s">
        <v>208</v>
      </c>
      <c r="C767" s="14">
        <f>_xlfn.XLOOKUP(B767,'Produtos &amp; Marcas'!B:B,'Produtos &amp; Marcas'!A:A)</f>
        <v>39</v>
      </c>
      <c r="D767" s="14">
        <v>0.5</v>
      </c>
      <c r="E767" s="16" t="s">
        <v>213</v>
      </c>
      <c r="F767" s="14">
        <f>_xlfn.XLOOKUP(E767,'Pontos de Partida'!B:B,'Pontos de Partida'!A:A)</f>
        <v>7</v>
      </c>
    </row>
    <row r="768" spans="1:6" x14ac:dyDescent="0.3">
      <c r="A768" s="14">
        <f t="shared" si="10"/>
        <v>69</v>
      </c>
      <c r="B768" s="15" t="s">
        <v>194</v>
      </c>
      <c r="C768" s="14">
        <f>_xlfn.XLOOKUP(B768,'Produtos &amp; Marcas'!B:B,'Produtos &amp; Marcas'!A:A)</f>
        <v>32</v>
      </c>
      <c r="D768" s="14">
        <v>1</v>
      </c>
      <c r="E768" s="16" t="s">
        <v>213</v>
      </c>
      <c r="F768" s="14">
        <f>_xlfn.XLOOKUP(E768,'Pontos de Partida'!B:B,'Pontos de Partida'!A:A)</f>
        <v>7</v>
      </c>
    </row>
    <row r="769" spans="1:6" x14ac:dyDescent="0.3">
      <c r="A769" s="14">
        <f t="shared" si="10"/>
        <v>70</v>
      </c>
      <c r="B769" s="15" t="s">
        <v>193</v>
      </c>
      <c r="C769" s="14">
        <f>_xlfn.XLOOKUP(B769,'Produtos &amp; Marcas'!B:B,'Produtos &amp; Marcas'!A:A)</f>
        <v>34</v>
      </c>
      <c r="D769" s="14">
        <v>0.2</v>
      </c>
      <c r="E769" s="16" t="s">
        <v>213</v>
      </c>
      <c r="F769" s="14">
        <f>_xlfn.XLOOKUP(E769,'Pontos de Partida'!B:B,'Pontos de Partida'!A:A)</f>
        <v>7</v>
      </c>
    </row>
    <row r="770" spans="1:6" x14ac:dyDescent="0.3">
      <c r="A770" s="14">
        <f t="shared" si="10"/>
        <v>70</v>
      </c>
      <c r="B770" s="15" t="s">
        <v>158</v>
      </c>
      <c r="C770" s="14">
        <f>_xlfn.XLOOKUP(B770,'Produtos &amp; Marcas'!B:B,'Produtos &amp; Marcas'!A:A)</f>
        <v>2</v>
      </c>
      <c r="D770" s="14">
        <v>2</v>
      </c>
      <c r="E770" s="16" t="s">
        <v>213</v>
      </c>
      <c r="F770" s="14">
        <f>_xlfn.XLOOKUP(E770,'Pontos de Partida'!B:B,'Pontos de Partida'!A:A)</f>
        <v>7</v>
      </c>
    </row>
    <row r="771" spans="1:6" x14ac:dyDescent="0.3">
      <c r="A771" s="14">
        <f t="shared" si="10"/>
        <v>70</v>
      </c>
      <c r="B771" s="15" t="s">
        <v>146</v>
      </c>
      <c r="C771" s="14">
        <f>_xlfn.XLOOKUP(B771,'Produtos &amp; Marcas'!B:B,'Produtos &amp; Marcas'!A:A)</f>
        <v>4</v>
      </c>
      <c r="D771" s="14">
        <v>3</v>
      </c>
      <c r="E771" s="16" t="s">
        <v>213</v>
      </c>
      <c r="F771" s="14">
        <f>_xlfn.XLOOKUP(E771,'Pontos de Partida'!B:B,'Pontos de Partida'!A:A)</f>
        <v>7</v>
      </c>
    </row>
    <row r="772" spans="1:6" x14ac:dyDescent="0.3">
      <c r="A772" s="14">
        <f t="shared" si="10"/>
        <v>71</v>
      </c>
      <c r="B772" s="15" t="s">
        <v>147</v>
      </c>
      <c r="C772" s="14">
        <f>_xlfn.XLOOKUP(B772,'Produtos &amp; Marcas'!B:B,'Produtos &amp; Marcas'!A:A)</f>
        <v>11</v>
      </c>
      <c r="D772" s="14">
        <v>0.8</v>
      </c>
      <c r="E772" s="16" t="s">
        <v>213</v>
      </c>
      <c r="F772" s="14">
        <f>_xlfn.XLOOKUP(E772,'Pontos de Partida'!B:B,'Pontos de Partida'!A:A)</f>
        <v>7</v>
      </c>
    </row>
    <row r="773" spans="1:6" x14ac:dyDescent="0.3">
      <c r="A773" s="14">
        <f t="shared" si="10"/>
        <v>71</v>
      </c>
      <c r="B773" s="15" t="s">
        <v>163</v>
      </c>
      <c r="C773" s="14">
        <f>_xlfn.XLOOKUP(B773,'Produtos &amp; Marcas'!B:B,'Produtos &amp; Marcas'!A:A)</f>
        <v>7</v>
      </c>
      <c r="D773" s="14">
        <v>0.4</v>
      </c>
      <c r="E773" s="16" t="s">
        <v>213</v>
      </c>
      <c r="F773" s="14">
        <f>_xlfn.XLOOKUP(E773,'Pontos de Partida'!B:B,'Pontos de Partida'!A:A)</f>
        <v>7</v>
      </c>
    </row>
    <row r="774" spans="1:6" x14ac:dyDescent="0.3">
      <c r="A774" s="14">
        <f t="shared" si="10"/>
        <v>71</v>
      </c>
      <c r="B774" s="15" t="s">
        <v>162</v>
      </c>
      <c r="C774" s="14">
        <f>_xlfn.XLOOKUP(B774,'Produtos &amp; Marcas'!B:B,'Produtos &amp; Marcas'!A:A)</f>
        <v>1</v>
      </c>
      <c r="D774" s="14">
        <v>2</v>
      </c>
      <c r="E774" s="16" t="s">
        <v>213</v>
      </c>
      <c r="F774" s="14">
        <f>_xlfn.XLOOKUP(E774,'Pontos de Partida'!B:B,'Pontos de Partida'!A:A)</f>
        <v>7</v>
      </c>
    </row>
    <row r="775" spans="1:6" x14ac:dyDescent="0.3">
      <c r="A775" s="14">
        <f t="shared" si="10"/>
        <v>71</v>
      </c>
      <c r="B775" s="15" t="s">
        <v>160</v>
      </c>
      <c r="C775" s="14">
        <f>_xlfn.XLOOKUP(B775,'Produtos &amp; Marcas'!B:B,'Produtos &amp; Marcas'!A:A)</f>
        <v>25</v>
      </c>
      <c r="D775" s="14">
        <v>2</v>
      </c>
      <c r="E775" s="16" t="s">
        <v>213</v>
      </c>
      <c r="F775" s="14">
        <f>_xlfn.XLOOKUP(E775,'Pontos de Partida'!B:B,'Pontos de Partida'!A:A)</f>
        <v>7</v>
      </c>
    </row>
    <row r="776" spans="1:6" x14ac:dyDescent="0.3">
      <c r="A776" s="14">
        <f t="shared" si="10"/>
        <v>71</v>
      </c>
      <c r="B776" s="15" t="s">
        <v>204</v>
      </c>
      <c r="C776" s="14">
        <f>_xlfn.XLOOKUP(B776,'Produtos &amp; Marcas'!B:B,'Produtos &amp; Marcas'!A:A)</f>
        <v>35</v>
      </c>
      <c r="D776" s="14">
        <v>0.2</v>
      </c>
      <c r="E776" s="16" t="s">
        <v>213</v>
      </c>
      <c r="F776" s="14">
        <f>_xlfn.XLOOKUP(E776,'Pontos de Partida'!B:B,'Pontos de Partida'!A:A)</f>
        <v>7</v>
      </c>
    </row>
    <row r="777" spans="1:6" x14ac:dyDescent="0.3">
      <c r="A777" s="14">
        <f t="shared" si="10"/>
        <v>71</v>
      </c>
      <c r="B777" s="15" t="s">
        <v>190</v>
      </c>
      <c r="C777" s="14">
        <f>_xlfn.XLOOKUP(B777,'Produtos &amp; Marcas'!B:B,'Produtos &amp; Marcas'!A:A)</f>
        <v>19</v>
      </c>
      <c r="D777" s="14">
        <v>1</v>
      </c>
      <c r="E777" s="16" t="s">
        <v>213</v>
      </c>
      <c r="F777" s="14">
        <f>_xlfn.XLOOKUP(E777,'Pontos de Partida'!B:B,'Pontos de Partida'!A:A)</f>
        <v>7</v>
      </c>
    </row>
    <row r="778" spans="1:6" x14ac:dyDescent="0.3">
      <c r="A778" s="14">
        <f t="shared" si="10"/>
        <v>71</v>
      </c>
      <c r="B778" s="15" t="s">
        <v>146</v>
      </c>
      <c r="C778" s="14">
        <f>_xlfn.XLOOKUP(B778,'Produtos &amp; Marcas'!B:B,'Produtos &amp; Marcas'!A:A)</f>
        <v>4</v>
      </c>
      <c r="D778" s="14">
        <v>3</v>
      </c>
      <c r="E778" s="16" t="s">
        <v>213</v>
      </c>
      <c r="F778" s="14">
        <f>_xlfn.XLOOKUP(E778,'Pontos de Partida'!B:B,'Pontos de Partida'!A:A)</f>
        <v>7</v>
      </c>
    </row>
    <row r="779" spans="1:6" x14ac:dyDescent="0.3">
      <c r="A779" s="14">
        <f t="shared" si="10"/>
        <v>72</v>
      </c>
      <c r="B779" s="15" t="s">
        <v>160</v>
      </c>
      <c r="C779" s="14">
        <f>_xlfn.XLOOKUP(B779,'Produtos &amp; Marcas'!B:B,'Produtos &amp; Marcas'!A:A)</f>
        <v>25</v>
      </c>
      <c r="D779" s="14">
        <v>2</v>
      </c>
      <c r="E779" s="16" t="s">
        <v>213</v>
      </c>
      <c r="F779" s="14">
        <f>_xlfn.XLOOKUP(E779,'Pontos de Partida'!B:B,'Pontos de Partida'!A:A)</f>
        <v>7</v>
      </c>
    </row>
    <row r="780" spans="1:6" x14ac:dyDescent="0.3">
      <c r="A780" s="14">
        <f t="shared" si="10"/>
        <v>72</v>
      </c>
      <c r="B780" s="15" t="s">
        <v>196</v>
      </c>
      <c r="C780" s="14">
        <f>_xlfn.XLOOKUP(B780,'Produtos &amp; Marcas'!B:B,'Produtos &amp; Marcas'!A:A)</f>
        <v>10</v>
      </c>
      <c r="D780" s="14">
        <v>0.8</v>
      </c>
      <c r="E780" s="16" t="s">
        <v>213</v>
      </c>
      <c r="F780" s="14">
        <f>_xlfn.XLOOKUP(E780,'Pontos de Partida'!B:B,'Pontos de Partida'!A:A)</f>
        <v>7</v>
      </c>
    </row>
    <row r="781" spans="1:6" x14ac:dyDescent="0.3">
      <c r="A781" s="14">
        <f t="shared" si="10"/>
        <v>72</v>
      </c>
      <c r="B781" s="15" t="s">
        <v>204</v>
      </c>
      <c r="C781" s="14">
        <f>_xlfn.XLOOKUP(B781,'Produtos &amp; Marcas'!B:B,'Produtos &amp; Marcas'!A:A)</f>
        <v>35</v>
      </c>
      <c r="D781" s="14">
        <v>0.2</v>
      </c>
      <c r="E781" s="16" t="s">
        <v>213</v>
      </c>
      <c r="F781" s="14">
        <f>_xlfn.XLOOKUP(E781,'Pontos de Partida'!B:B,'Pontos de Partida'!A:A)</f>
        <v>7</v>
      </c>
    </row>
    <row r="782" spans="1:6" x14ac:dyDescent="0.3">
      <c r="A782" s="14">
        <f t="shared" si="10"/>
        <v>72</v>
      </c>
      <c r="B782" s="15" t="s">
        <v>194</v>
      </c>
      <c r="C782" s="14">
        <f>_xlfn.XLOOKUP(B782,'Produtos &amp; Marcas'!B:B,'Produtos &amp; Marcas'!A:A)</f>
        <v>32</v>
      </c>
      <c r="D782" s="14">
        <v>1</v>
      </c>
      <c r="E782" s="16" t="s">
        <v>213</v>
      </c>
      <c r="F782" s="14">
        <f>_xlfn.XLOOKUP(E782,'Pontos de Partida'!B:B,'Pontos de Partida'!A:A)</f>
        <v>7</v>
      </c>
    </row>
    <row r="783" spans="1:6" x14ac:dyDescent="0.3">
      <c r="A783" s="14">
        <f t="shared" ref="A783:A846" si="11">A691+11</f>
        <v>72</v>
      </c>
      <c r="B783" s="15" t="s">
        <v>195</v>
      </c>
      <c r="C783" s="14">
        <f>_xlfn.XLOOKUP(B783,'Produtos &amp; Marcas'!B:B,'Produtos &amp; Marcas'!A:A)</f>
        <v>21</v>
      </c>
      <c r="D783" s="14">
        <v>1</v>
      </c>
      <c r="E783" s="16" t="s">
        <v>213</v>
      </c>
      <c r="F783" s="14">
        <f>_xlfn.XLOOKUP(E783,'Pontos de Partida'!B:B,'Pontos de Partida'!A:A)</f>
        <v>7</v>
      </c>
    </row>
    <row r="784" spans="1:6" x14ac:dyDescent="0.3">
      <c r="A784" s="14">
        <f t="shared" si="11"/>
        <v>72</v>
      </c>
      <c r="B784" s="15" t="s">
        <v>161</v>
      </c>
      <c r="C784" s="14">
        <f>_xlfn.XLOOKUP(B784,'Produtos &amp; Marcas'!B:B,'Produtos &amp; Marcas'!A:A)</f>
        <v>38</v>
      </c>
      <c r="D784" s="14">
        <v>0.5</v>
      </c>
      <c r="E784" s="16" t="s">
        <v>213</v>
      </c>
      <c r="F784" s="14">
        <f>_xlfn.XLOOKUP(E784,'Pontos de Partida'!B:B,'Pontos de Partida'!A:A)</f>
        <v>7</v>
      </c>
    </row>
    <row r="785" spans="1:6" x14ac:dyDescent="0.3">
      <c r="A785" s="14">
        <f t="shared" si="11"/>
        <v>72</v>
      </c>
      <c r="B785" s="15" t="s">
        <v>191</v>
      </c>
      <c r="C785" s="14">
        <f>_xlfn.XLOOKUP(B785,'Produtos &amp; Marcas'!B:B,'Produtos &amp; Marcas'!A:A)</f>
        <v>24</v>
      </c>
      <c r="D785" s="14">
        <v>3</v>
      </c>
      <c r="E785" s="16" t="s">
        <v>213</v>
      </c>
      <c r="F785" s="14">
        <f>_xlfn.XLOOKUP(E785,'Pontos de Partida'!B:B,'Pontos de Partida'!A:A)</f>
        <v>7</v>
      </c>
    </row>
    <row r="786" spans="1:6" x14ac:dyDescent="0.3">
      <c r="A786" s="14">
        <f t="shared" si="11"/>
        <v>72</v>
      </c>
      <c r="B786" s="15" t="s">
        <v>153</v>
      </c>
      <c r="C786" s="14">
        <f>_xlfn.XLOOKUP(B786,'Produtos &amp; Marcas'!B:B,'Produtos &amp; Marcas'!A:A)</f>
        <v>13</v>
      </c>
      <c r="D786" s="14">
        <v>1</v>
      </c>
      <c r="E786" s="16" t="s">
        <v>213</v>
      </c>
      <c r="F786" s="14">
        <f>_xlfn.XLOOKUP(E786,'Pontos de Partida'!B:B,'Pontos de Partida'!A:A)</f>
        <v>7</v>
      </c>
    </row>
    <row r="787" spans="1:6" x14ac:dyDescent="0.3">
      <c r="A787" s="14">
        <f t="shared" si="11"/>
        <v>72</v>
      </c>
      <c r="B787" s="15" t="s">
        <v>163</v>
      </c>
      <c r="C787" s="14">
        <f>_xlfn.XLOOKUP(B787,'Produtos &amp; Marcas'!B:B,'Produtos &amp; Marcas'!A:A)</f>
        <v>7</v>
      </c>
      <c r="D787" s="14">
        <v>0.4</v>
      </c>
      <c r="E787" s="16" t="s">
        <v>213</v>
      </c>
      <c r="F787" s="14">
        <f>_xlfn.XLOOKUP(E787,'Pontos de Partida'!B:B,'Pontos de Partida'!A:A)</f>
        <v>7</v>
      </c>
    </row>
    <row r="788" spans="1:6" x14ac:dyDescent="0.3">
      <c r="A788" s="14">
        <f t="shared" si="11"/>
        <v>72</v>
      </c>
      <c r="B788" s="15" t="s">
        <v>198</v>
      </c>
      <c r="C788" s="14">
        <f>_xlfn.XLOOKUP(B788,'Produtos &amp; Marcas'!B:B,'Produtos &amp; Marcas'!A:A)</f>
        <v>6</v>
      </c>
      <c r="D788" s="14">
        <v>3</v>
      </c>
      <c r="E788" s="16" t="s">
        <v>213</v>
      </c>
      <c r="F788" s="14">
        <f>_xlfn.XLOOKUP(E788,'Pontos de Partida'!B:B,'Pontos de Partida'!A:A)</f>
        <v>7</v>
      </c>
    </row>
    <row r="789" spans="1:6" x14ac:dyDescent="0.3">
      <c r="A789" s="14">
        <f t="shared" si="11"/>
        <v>72</v>
      </c>
      <c r="B789" s="15" t="s">
        <v>197</v>
      </c>
      <c r="C789" s="14">
        <f>_xlfn.XLOOKUP(B789,'Produtos &amp; Marcas'!B:B,'Produtos &amp; Marcas'!A:A)</f>
        <v>29</v>
      </c>
      <c r="D789" s="14">
        <v>1</v>
      </c>
      <c r="E789" s="16" t="s">
        <v>213</v>
      </c>
      <c r="F789" s="14">
        <f>_xlfn.XLOOKUP(E789,'Pontos de Partida'!B:B,'Pontos de Partida'!A:A)</f>
        <v>7</v>
      </c>
    </row>
    <row r="790" spans="1:6" x14ac:dyDescent="0.3">
      <c r="A790" s="14">
        <f t="shared" si="11"/>
        <v>72</v>
      </c>
      <c r="B790" s="15" t="s">
        <v>155</v>
      </c>
      <c r="C790" s="14">
        <f>_xlfn.XLOOKUP(B790,'Produtos &amp; Marcas'!B:B,'Produtos &amp; Marcas'!A:A)</f>
        <v>3</v>
      </c>
      <c r="D790" s="14">
        <v>2</v>
      </c>
      <c r="E790" s="16" t="s">
        <v>213</v>
      </c>
      <c r="F790" s="14">
        <f>_xlfn.XLOOKUP(E790,'Pontos de Partida'!B:B,'Pontos de Partida'!A:A)</f>
        <v>7</v>
      </c>
    </row>
    <row r="791" spans="1:6" x14ac:dyDescent="0.3">
      <c r="A791" s="14">
        <f t="shared" si="11"/>
        <v>73</v>
      </c>
      <c r="B791" s="15" t="s">
        <v>153</v>
      </c>
      <c r="C791" s="14">
        <f>_xlfn.XLOOKUP(B791,'Produtos &amp; Marcas'!B:B,'Produtos &amp; Marcas'!A:A)</f>
        <v>13</v>
      </c>
      <c r="D791" s="14">
        <v>1</v>
      </c>
      <c r="E791" s="16" t="s">
        <v>213</v>
      </c>
      <c r="F791" s="14">
        <f>_xlfn.XLOOKUP(E791,'Pontos de Partida'!B:B,'Pontos de Partida'!A:A)</f>
        <v>7</v>
      </c>
    </row>
    <row r="792" spans="1:6" x14ac:dyDescent="0.3">
      <c r="A792" s="14">
        <f t="shared" si="11"/>
        <v>73</v>
      </c>
      <c r="B792" s="15" t="s">
        <v>146</v>
      </c>
      <c r="C792" s="14">
        <f>_xlfn.XLOOKUP(B792,'Produtos &amp; Marcas'!B:B,'Produtos &amp; Marcas'!A:A)</f>
        <v>4</v>
      </c>
      <c r="D792" s="14">
        <v>3</v>
      </c>
      <c r="E792" s="16" t="s">
        <v>213</v>
      </c>
      <c r="F792" s="14">
        <f>_xlfn.XLOOKUP(E792,'Pontos de Partida'!B:B,'Pontos de Partida'!A:A)</f>
        <v>7</v>
      </c>
    </row>
    <row r="793" spans="1:6" x14ac:dyDescent="0.3">
      <c r="A793" s="14">
        <f t="shared" si="11"/>
        <v>73</v>
      </c>
      <c r="B793" s="15" t="s">
        <v>199</v>
      </c>
      <c r="C793" s="14">
        <f>_xlfn.XLOOKUP(B793,'Produtos &amp; Marcas'!B:B,'Produtos &amp; Marcas'!A:A)</f>
        <v>23</v>
      </c>
      <c r="D793" s="14">
        <v>3</v>
      </c>
      <c r="E793" s="16" t="s">
        <v>213</v>
      </c>
      <c r="F793" s="14">
        <f>_xlfn.XLOOKUP(E793,'Pontos de Partida'!B:B,'Pontos de Partida'!A:A)</f>
        <v>7</v>
      </c>
    </row>
    <row r="794" spans="1:6" x14ac:dyDescent="0.3">
      <c r="A794" s="14">
        <f t="shared" si="11"/>
        <v>73</v>
      </c>
      <c r="B794" s="15" t="s">
        <v>200</v>
      </c>
      <c r="C794" s="14">
        <f>_xlfn.XLOOKUP(B794,'Produtos &amp; Marcas'!B:B,'Produtos &amp; Marcas'!A:A)</f>
        <v>27</v>
      </c>
      <c r="D794" s="14">
        <v>2</v>
      </c>
      <c r="E794" s="16" t="s">
        <v>213</v>
      </c>
      <c r="F794" s="14">
        <f>_xlfn.XLOOKUP(E794,'Pontos de Partida'!B:B,'Pontos de Partida'!A:A)</f>
        <v>7</v>
      </c>
    </row>
    <row r="795" spans="1:6" x14ac:dyDescent="0.3">
      <c r="A795" s="14">
        <f t="shared" si="11"/>
        <v>73</v>
      </c>
      <c r="B795" s="15" t="s">
        <v>158</v>
      </c>
      <c r="C795" s="14">
        <f>_xlfn.XLOOKUP(B795,'Produtos &amp; Marcas'!B:B,'Produtos &amp; Marcas'!A:A)</f>
        <v>2</v>
      </c>
      <c r="D795" s="14">
        <v>2</v>
      </c>
      <c r="E795" s="16" t="s">
        <v>213</v>
      </c>
      <c r="F795" s="14">
        <f>_xlfn.XLOOKUP(E795,'Pontos de Partida'!B:B,'Pontos de Partida'!A:A)</f>
        <v>7</v>
      </c>
    </row>
    <row r="796" spans="1:6" x14ac:dyDescent="0.3">
      <c r="A796" s="14">
        <f t="shared" si="11"/>
        <v>74</v>
      </c>
      <c r="B796" s="15" t="s">
        <v>206</v>
      </c>
      <c r="C796" s="14">
        <f>_xlfn.XLOOKUP(B796,'Produtos &amp; Marcas'!B:B,'Produtos &amp; Marcas'!A:A)</f>
        <v>18</v>
      </c>
      <c r="D796" s="14">
        <v>1.5</v>
      </c>
      <c r="E796" s="16" t="s">
        <v>213</v>
      </c>
      <c r="F796" s="14">
        <f>_xlfn.XLOOKUP(E796,'Pontos de Partida'!B:B,'Pontos de Partida'!A:A)</f>
        <v>7</v>
      </c>
    </row>
    <row r="797" spans="1:6" x14ac:dyDescent="0.3">
      <c r="A797" s="14">
        <f t="shared" si="11"/>
        <v>74</v>
      </c>
      <c r="B797" s="15" t="s">
        <v>154</v>
      </c>
      <c r="C797" s="14">
        <f>_xlfn.XLOOKUP(B797,'Produtos &amp; Marcas'!B:B,'Produtos &amp; Marcas'!A:A)</f>
        <v>22</v>
      </c>
      <c r="D797" s="14">
        <v>3</v>
      </c>
      <c r="E797" s="16" t="s">
        <v>213</v>
      </c>
      <c r="F797" s="14">
        <f>_xlfn.XLOOKUP(E797,'Pontos de Partida'!B:B,'Pontos de Partida'!A:A)</f>
        <v>7</v>
      </c>
    </row>
    <row r="798" spans="1:6" x14ac:dyDescent="0.3">
      <c r="A798" s="14">
        <f t="shared" si="11"/>
        <v>74</v>
      </c>
      <c r="B798" s="15" t="s">
        <v>151</v>
      </c>
      <c r="C798" s="14">
        <f>_xlfn.XLOOKUP(B798,'Produtos &amp; Marcas'!B:B,'Produtos &amp; Marcas'!A:A)</f>
        <v>5</v>
      </c>
      <c r="D798" s="14">
        <v>3</v>
      </c>
      <c r="E798" s="16" t="s">
        <v>213</v>
      </c>
      <c r="F798" s="14">
        <f>_xlfn.XLOOKUP(E798,'Pontos de Partida'!B:B,'Pontos de Partida'!A:A)</f>
        <v>7</v>
      </c>
    </row>
    <row r="799" spans="1:6" x14ac:dyDescent="0.3">
      <c r="A799" s="14">
        <f t="shared" si="11"/>
        <v>74</v>
      </c>
      <c r="B799" s="15" t="s">
        <v>190</v>
      </c>
      <c r="C799" s="14">
        <f>_xlfn.XLOOKUP(B799,'Produtos &amp; Marcas'!B:B,'Produtos &amp; Marcas'!A:A)</f>
        <v>19</v>
      </c>
      <c r="D799" s="14">
        <v>1</v>
      </c>
      <c r="E799" s="16" t="s">
        <v>213</v>
      </c>
      <c r="F799" s="14">
        <f>_xlfn.XLOOKUP(E799,'Pontos de Partida'!B:B,'Pontos de Partida'!A:A)</f>
        <v>7</v>
      </c>
    </row>
    <row r="800" spans="1:6" x14ac:dyDescent="0.3">
      <c r="A800" s="14">
        <f t="shared" si="11"/>
        <v>75</v>
      </c>
      <c r="B800" s="15" t="s">
        <v>204</v>
      </c>
      <c r="C800" s="14">
        <f>_xlfn.XLOOKUP(B800,'Produtos &amp; Marcas'!B:B,'Produtos &amp; Marcas'!A:A)</f>
        <v>35</v>
      </c>
      <c r="D800" s="14">
        <v>0.2</v>
      </c>
      <c r="E800" s="16" t="s">
        <v>213</v>
      </c>
      <c r="F800" s="14">
        <f>_xlfn.XLOOKUP(E800,'Pontos de Partida'!B:B,'Pontos de Partida'!A:A)</f>
        <v>7</v>
      </c>
    </row>
    <row r="801" spans="1:6" x14ac:dyDescent="0.3">
      <c r="A801" s="14">
        <f t="shared" si="11"/>
        <v>75</v>
      </c>
      <c r="B801" s="15" t="s">
        <v>203</v>
      </c>
      <c r="C801" s="14">
        <f>_xlfn.XLOOKUP(B801,'Produtos &amp; Marcas'!B:B,'Produtos &amp; Marcas'!A:A)</f>
        <v>30</v>
      </c>
      <c r="D801" s="14">
        <v>1</v>
      </c>
      <c r="E801" s="16" t="s">
        <v>213</v>
      </c>
      <c r="F801" s="14">
        <f>_xlfn.XLOOKUP(E801,'Pontos de Partida'!B:B,'Pontos de Partida'!A:A)</f>
        <v>7</v>
      </c>
    </row>
    <row r="802" spans="1:6" x14ac:dyDescent="0.3">
      <c r="A802" s="14">
        <f t="shared" si="11"/>
        <v>75</v>
      </c>
      <c r="B802" s="15" t="s">
        <v>159</v>
      </c>
      <c r="C802" s="14">
        <f>_xlfn.XLOOKUP(B802,'Produtos &amp; Marcas'!B:B,'Produtos &amp; Marcas'!A:A)</f>
        <v>17</v>
      </c>
      <c r="D802" s="14">
        <v>1.5</v>
      </c>
      <c r="E802" s="16" t="s">
        <v>213</v>
      </c>
      <c r="F802" s="14">
        <f>_xlfn.XLOOKUP(E802,'Pontos de Partida'!B:B,'Pontos de Partida'!A:A)</f>
        <v>7</v>
      </c>
    </row>
    <row r="803" spans="1:6" x14ac:dyDescent="0.3">
      <c r="A803" s="14">
        <f t="shared" si="11"/>
        <v>75</v>
      </c>
      <c r="B803" s="15" t="s">
        <v>161</v>
      </c>
      <c r="C803" s="14">
        <f>_xlfn.XLOOKUP(B803,'Produtos &amp; Marcas'!B:B,'Produtos &amp; Marcas'!A:A)</f>
        <v>38</v>
      </c>
      <c r="D803" s="14">
        <v>0.5</v>
      </c>
      <c r="E803" s="16" t="s">
        <v>213</v>
      </c>
      <c r="F803" s="14">
        <f>_xlfn.XLOOKUP(E803,'Pontos de Partida'!B:B,'Pontos de Partida'!A:A)</f>
        <v>7</v>
      </c>
    </row>
    <row r="804" spans="1:6" x14ac:dyDescent="0.3">
      <c r="A804" s="14">
        <f t="shared" si="11"/>
        <v>76</v>
      </c>
      <c r="B804" s="15" t="s">
        <v>156</v>
      </c>
      <c r="C804" s="14">
        <f>_xlfn.XLOOKUP(B804,'Produtos &amp; Marcas'!B:B,'Produtos &amp; Marcas'!A:A)</f>
        <v>12</v>
      </c>
      <c r="D804" s="14">
        <v>0.8</v>
      </c>
      <c r="E804" s="16" t="s">
        <v>213</v>
      </c>
      <c r="F804" s="14">
        <f>_xlfn.XLOOKUP(E804,'Pontos de Partida'!B:B,'Pontos de Partida'!A:A)</f>
        <v>7</v>
      </c>
    </row>
    <row r="805" spans="1:6" x14ac:dyDescent="0.3">
      <c r="A805" s="14">
        <f t="shared" si="11"/>
        <v>76</v>
      </c>
      <c r="B805" s="15" t="s">
        <v>150</v>
      </c>
      <c r="C805" s="14">
        <f>_xlfn.XLOOKUP(B805,'Produtos &amp; Marcas'!B:B,'Produtos &amp; Marcas'!A:A)</f>
        <v>37</v>
      </c>
      <c r="D805" s="14">
        <v>0.5</v>
      </c>
      <c r="E805" s="16" t="s">
        <v>213</v>
      </c>
      <c r="F805" s="14">
        <f>_xlfn.XLOOKUP(E805,'Pontos de Partida'!B:B,'Pontos de Partida'!A:A)</f>
        <v>7</v>
      </c>
    </row>
    <row r="806" spans="1:6" x14ac:dyDescent="0.3">
      <c r="A806" s="14">
        <f t="shared" si="11"/>
        <v>76</v>
      </c>
      <c r="B806" s="15" t="s">
        <v>155</v>
      </c>
      <c r="C806" s="14">
        <f>_xlfn.XLOOKUP(B806,'Produtos &amp; Marcas'!B:B,'Produtos &amp; Marcas'!A:A)</f>
        <v>3</v>
      </c>
      <c r="D806" s="14">
        <v>2</v>
      </c>
      <c r="E806" s="16" t="s">
        <v>213</v>
      </c>
      <c r="F806" s="14">
        <f>_xlfn.XLOOKUP(E806,'Pontos de Partida'!B:B,'Pontos de Partida'!A:A)</f>
        <v>7</v>
      </c>
    </row>
    <row r="807" spans="1:6" x14ac:dyDescent="0.3">
      <c r="A807" s="14">
        <f t="shared" si="11"/>
        <v>76</v>
      </c>
      <c r="B807" s="15" t="s">
        <v>198</v>
      </c>
      <c r="C807" s="14">
        <f>_xlfn.XLOOKUP(B807,'Produtos &amp; Marcas'!B:B,'Produtos &amp; Marcas'!A:A)</f>
        <v>6</v>
      </c>
      <c r="D807" s="14">
        <v>3</v>
      </c>
      <c r="E807" s="16" t="s">
        <v>213</v>
      </c>
      <c r="F807" s="14">
        <f>_xlfn.XLOOKUP(E807,'Pontos de Partida'!B:B,'Pontos de Partida'!A:A)</f>
        <v>7</v>
      </c>
    </row>
    <row r="808" spans="1:6" x14ac:dyDescent="0.3">
      <c r="A808" s="14">
        <f t="shared" si="11"/>
        <v>76</v>
      </c>
      <c r="B808" s="15" t="s">
        <v>194</v>
      </c>
      <c r="C808" s="14">
        <f>_xlfn.XLOOKUP(B808,'Produtos &amp; Marcas'!B:B,'Produtos &amp; Marcas'!A:A)</f>
        <v>32</v>
      </c>
      <c r="D808" s="14">
        <v>1</v>
      </c>
      <c r="E808" s="16" t="s">
        <v>213</v>
      </c>
      <c r="F808" s="14">
        <f>_xlfn.XLOOKUP(E808,'Pontos de Partida'!B:B,'Pontos de Partida'!A:A)</f>
        <v>7</v>
      </c>
    </row>
    <row r="809" spans="1:6" x14ac:dyDescent="0.3">
      <c r="A809" s="14">
        <f t="shared" si="11"/>
        <v>76</v>
      </c>
      <c r="B809" s="15" t="s">
        <v>153</v>
      </c>
      <c r="C809" s="14">
        <f>_xlfn.XLOOKUP(B809,'Produtos &amp; Marcas'!B:B,'Produtos &amp; Marcas'!A:A)</f>
        <v>13</v>
      </c>
      <c r="D809" s="14">
        <v>1</v>
      </c>
      <c r="E809" s="16" t="s">
        <v>213</v>
      </c>
      <c r="F809" s="14">
        <f>_xlfn.XLOOKUP(E809,'Pontos de Partida'!B:B,'Pontos de Partida'!A:A)</f>
        <v>7</v>
      </c>
    </row>
    <row r="810" spans="1:6" x14ac:dyDescent="0.3">
      <c r="A810" s="14">
        <f t="shared" si="11"/>
        <v>76</v>
      </c>
      <c r="B810" s="15" t="s">
        <v>192</v>
      </c>
      <c r="C810" s="14">
        <f>_xlfn.XLOOKUP(B810,'Produtos &amp; Marcas'!B:B,'Produtos &amp; Marcas'!A:A)</f>
        <v>28</v>
      </c>
      <c r="D810" s="14">
        <v>1</v>
      </c>
      <c r="E810" s="16" t="s">
        <v>213</v>
      </c>
      <c r="F810" s="14">
        <f>_xlfn.XLOOKUP(E810,'Pontos de Partida'!B:B,'Pontos de Partida'!A:A)</f>
        <v>7</v>
      </c>
    </row>
    <row r="811" spans="1:6" x14ac:dyDescent="0.3">
      <c r="A811" s="14">
        <f t="shared" si="11"/>
        <v>76</v>
      </c>
      <c r="B811" s="15" t="s">
        <v>193</v>
      </c>
      <c r="C811" s="14">
        <f>_xlfn.XLOOKUP(B811,'Produtos &amp; Marcas'!B:B,'Produtos &amp; Marcas'!A:A)</f>
        <v>34</v>
      </c>
      <c r="D811" s="14">
        <v>0.2</v>
      </c>
      <c r="E811" s="16" t="s">
        <v>213</v>
      </c>
      <c r="F811" s="14">
        <f>_xlfn.XLOOKUP(E811,'Pontos de Partida'!B:B,'Pontos de Partida'!A:A)</f>
        <v>7</v>
      </c>
    </row>
    <row r="812" spans="1:6" x14ac:dyDescent="0.3">
      <c r="A812" s="14">
        <f t="shared" si="11"/>
        <v>76</v>
      </c>
      <c r="B812" s="15" t="s">
        <v>190</v>
      </c>
      <c r="C812" s="14">
        <f>_xlfn.XLOOKUP(B812,'Produtos &amp; Marcas'!B:B,'Produtos &amp; Marcas'!A:A)</f>
        <v>19</v>
      </c>
      <c r="D812" s="14">
        <v>1</v>
      </c>
      <c r="E812" s="16" t="s">
        <v>213</v>
      </c>
      <c r="F812" s="14">
        <f>_xlfn.XLOOKUP(E812,'Pontos de Partida'!B:B,'Pontos de Partida'!A:A)</f>
        <v>7</v>
      </c>
    </row>
    <row r="813" spans="1:6" x14ac:dyDescent="0.3">
      <c r="A813" s="14">
        <f t="shared" si="11"/>
        <v>76</v>
      </c>
      <c r="B813" s="15" t="s">
        <v>200</v>
      </c>
      <c r="C813" s="14">
        <f>_xlfn.XLOOKUP(B813,'Produtos &amp; Marcas'!B:B,'Produtos &amp; Marcas'!A:A)</f>
        <v>27</v>
      </c>
      <c r="D813" s="14">
        <v>2</v>
      </c>
      <c r="E813" s="16" t="s">
        <v>213</v>
      </c>
      <c r="F813" s="14">
        <f>_xlfn.XLOOKUP(E813,'Pontos de Partida'!B:B,'Pontos de Partida'!A:A)</f>
        <v>7</v>
      </c>
    </row>
    <row r="814" spans="1:6" x14ac:dyDescent="0.3">
      <c r="A814" s="14">
        <f t="shared" si="11"/>
        <v>77</v>
      </c>
      <c r="B814" s="15" t="s">
        <v>148</v>
      </c>
      <c r="C814" s="14">
        <f>_xlfn.XLOOKUP(B814,'Produtos &amp; Marcas'!B:B,'Produtos &amp; Marcas'!A:A)</f>
        <v>14</v>
      </c>
      <c r="D814" s="14">
        <v>1</v>
      </c>
      <c r="E814" s="16" t="s">
        <v>213</v>
      </c>
      <c r="F814" s="14">
        <f>_xlfn.XLOOKUP(E814,'Pontos de Partida'!B:B,'Pontos de Partida'!A:A)</f>
        <v>7</v>
      </c>
    </row>
    <row r="815" spans="1:6" x14ac:dyDescent="0.3">
      <c r="A815" s="14">
        <f t="shared" si="11"/>
        <v>77</v>
      </c>
      <c r="B815" s="15" t="s">
        <v>199</v>
      </c>
      <c r="C815" s="14">
        <f>_xlfn.XLOOKUP(B815,'Produtos &amp; Marcas'!B:B,'Produtos &amp; Marcas'!A:A)</f>
        <v>23</v>
      </c>
      <c r="D815" s="14">
        <v>3</v>
      </c>
      <c r="E815" s="16" t="s">
        <v>213</v>
      </c>
      <c r="F815" s="14">
        <f>_xlfn.XLOOKUP(E815,'Pontos de Partida'!B:B,'Pontos de Partida'!A:A)</f>
        <v>7</v>
      </c>
    </row>
    <row r="816" spans="1:6" x14ac:dyDescent="0.3">
      <c r="A816" s="14">
        <f t="shared" si="11"/>
        <v>77</v>
      </c>
      <c r="B816" s="15" t="s">
        <v>207</v>
      </c>
      <c r="C816" s="14">
        <f>_xlfn.XLOOKUP(B816,'Produtos &amp; Marcas'!B:B,'Produtos &amp; Marcas'!A:A)</f>
        <v>36</v>
      </c>
      <c r="D816" s="14">
        <v>0.2</v>
      </c>
      <c r="E816" s="16" t="s">
        <v>213</v>
      </c>
      <c r="F816" s="14">
        <f>_xlfn.XLOOKUP(E816,'Pontos de Partida'!B:B,'Pontos de Partida'!A:A)</f>
        <v>7</v>
      </c>
    </row>
    <row r="817" spans="1:6" x14ac:dyDescent="0.3">
      <c r="A817" s="14">
        <f t="shared" si="11"/>
        <v>77</v>
      </c>
      <c r="B817" s="15" t="s">
        <v>159</v>
      </c>
      <c r="C817" s="14">
        <f>_xlfn.XLOOKUP(B817,'Produtos &amp; Marcas'!B:B,'Produtos &amp; Marcas'!A:A)</f>
        <v>17</v>
      </c>
      <c r="D817" s="14">
        <v>1.5</v>
      </c>
      <c r="E817" s="16" t="s">
        <v>213</v>
      </c>
      <c r="F817" s="14">
        <f>_xlfn.XLOOKUP(E817,'Pontos de Partida'!B:B,'Pontos de Partida'!A:A)</f>
        <v>7</v>
      </c>
    </row>
    <row r="818" spans="1:6" x14ac:dyDescent="0.3">
      <c r="A818" s="14">
        <f t="shared" si="11"/>
        <v>77</v>
      </c>
      <c r="B818" s="15" t="s">
        <v>189</v>
      </c>
      <c r="C818" s="14">
        <f>_xlfn.XLOOKUP(B818,'Produtos &amp; Marcas'!B:B,'Produtos &amp; Marcas'!A:A)</f>
        <v>8</v>
      </c>
      <c r="D818" s="14">
        <v>0.4</v>
      </c>
      <c r="E818" s="16" t="s">
        <v>213</v>
      </c>
      <c r="F818" s="14">
        <f>_xlfn.XLOOKUP(E818,'Pontos de Partida'!B:B,'Pontos de Partida'!A:A)</f>
        <v>7</v>
      </c>
    </row>
    <row r="819" spans="1:6" x14ac:dyDescent="0.3">
      <c r="A819" s="14">
        <f t="shared" si="11"/>
        <v>77</v>
      </c>
      <c r="B819" s="15" t="s">
        <v>197</v>
      </c>
      <c r="C819" s="14">
        <f>_xlfn.XLOOKUP(B819,'Produtos &amp; Marcas'!B:B,'Produtos &amp; Marcas'!A:A)</f>
        <v>29</v>
      </c>
      <c r="D819" s="14">
        <v>1</v>
      </c>
      <c r="E819" s="16" t="s">
        <v>213</v>
      </c>
      <c r="F819" s="14">
        <f>_xlfn.XLOOKUP(E819,'Pontos de Partida'!B:B,'Pontos de Partida'!A:A)</f>
        <v>7</v>
      </c>
    </row>
    <row r="820" spans="1:6" x14ac:dyDescent="0.3">
      <c r="A820" s="14">
        <f t="shared" si="11"/>
        <v>77</v>
      </c>
      <c r="B820" s="15" t="s">
        <v>200</v>
      </c>
      <c r="C820" s="14">
        <f>_xlfn.XLOOKUP(B820,'Produtos &amp; Marcas'!B:B,'Produtos &amp; Marcas'!A:A)</f>
        <v>27</v>
      </c>
      <c r="D820" s="14">
        <v>2</v>
      </c>
      <c r="E820" s="16" t="s">
        <v>213</v>
      </c>
      <c r="F820" s="14">
        <f>_xlfn.XLOOKUP(E820,'Pontos de Partida'!B:B,'Pontos de Partida'!A:A)</f>
        <v>7</v>
      </c>
    </row>
    <row r="821" spans="1:6" x14ac:dyDescent="0.3">
      <c r="A821" s="14">
        <f t="shared" si="11"/>
        <v>77</v>
      </c>
      <c r="B821" s="15" t="s">
        <v>158</v>
      </c>
      <c r="C821" s="14">
        <f>_xlfn.XLOOKUP(B821,'Produtos &amp; Marcas'!B:B,'Produtos &amp; Marcas'!A:A)</f>
        <v>2</v>
      </c>
      <c r="D821" s="14">
        <v>2</v>
      </c>
      <c r="E821" s="16" t="s">
        <v>213</v>
      </c>
      <c r="F821" s="14">
        <f>_xlfn.XLOOKUP(E821,'Pontos de Partida'!B:B,'Pontos de Partida'!A:A)</f>
        <v>7</v>
      </c>
    </row>
    <row r="822" spans="1:6" x14ac:dyDescent="0.3">
      <c r="A822" s="14">
        <f t="shared" si="11"/>
        <v>78</v>
      </c>
      <c r="B822" s="15" t="s">
        <v>198</v>
      </c>
      <c r="C822" s="14">
        <f>_xlfn.XLOOKUP(B822,'Produtos &amp; Marcas'!B:B,'Produtos &amp; Marcas'!A:A)</f>
        <v>6</v>
      </c>
      <c r="D822" s="14">
        <v>3</v>
      </c>
      <c r="E822" s="16" t="s">
        <v>214</v>
      </c>
      <c r="F822" s="14">
        <f>_xlfn.XLOOKUP(E822,'Pontos de Partida'!B:B,'Pontos de Partida'!A:A)</f>
        <v>8</v>
      </c>
    </row>
    <row r="823" spans="1:6" x14ac:dyDescent="0.3">
      <c r="A823" s="14">
        <f t="shared" si="11"/>
        <v>78</v>
      </c>
      <c r="B823" s="15" t="s">
        <v>155</v>
      </c>
      <c r="C823" s="14">
        <f>_xlfn.XLOOKUP(B823,'Produtos &amp; Marcas'!B:B,'Produtos &amp; Marcas'!A:A)</f>
        <v>3</v>
      </c>
      <c r="D823" s="14">
        <v>2</v>
      </c>
      <c r="E823" s="16" t="s">
        <v>214</v>
      </c>
      <c r="F823" s="14">
        <f>_xlfn.XLOOKUP(E823,'Pontos de Partida'!B:B,'Pontos de Partida'!A:A)</f>
        <v>8</v>
      </c>
    </row>
    <row r="824" spans="1:6" x14ac:dyDescent="0.3">
      <c r="A824" s="14">
        <f t="shared" si="11"/>
        <v>78</v>
      </c>
      <c r="B824" s="15" t="s">
        <v>152</v>
      </c>
      <c r="C824" s="14">
        <f>_xlfn.XLOOKUP(B824,'Produtos &amp; Marcas'!B:B,'Produtos &amp; Marcas'!A:A)</f>
        <v>9</v>
      </c>
      <c r="D824" s="14">
        <v>0.4</v>
      </c>
      <c r="E824" s="16" t="s">
        <v>214</v>
      </c>
      <c r="F824" s="14">
        <f>_xlfn.XLOOKUP(E824,'Pontos de Partida'!B:B,'Pontos de Partida'!A:A)</f>
        <v>8</v>
      </c>
    </row>
    <row r="825" spans="1:6" x14ac:dyDescent="0.3">
      <c r="A825" s="14">
        <f t="shared" si="11"/>
        <v>78</v>
      </c>
      <c r="B825" s="15" t="s">
        <v>156</v>
      </c>
      <c r="C825" s="14">
        <f>_xlfn.XLOOKUP(B825,'Produtos &amp; Marcas'!B:B,'Produtos &amp; Marcas'!A:A)</f>
        <v>12</v>
      </c>
      <c r="D825" s="14">
        <v>0.8</v>
      </c>
      <c r="E825" s="16" t="s">
        <v>214</v>
      </c>
      <c r="F825" s="14">
        <f>_xlfn.XLOOKUP(E825,'Pontos de Partida'!B:B,'Pontos de Partida'!A:A)</f>
        <v>8</v>
      </c>
    </row>
    <row r="826" spans="1:6" x14ac:dyDescent="0.3">
      <c r="A826" s="14">
        <f t="shared" si="11"/>
        <v>78</v>
      </c>
      <c r="B826" s="15" t="s">
        <v>153</v>
      </c>
      <c r="C826" s="14">
        <f>_xlfn.XLOOKUP(B826,'Produtos &amp; Marcas'!B:B,'Produtos &amp; Marcas'!A:A)</f>
        <v>13</v>
      </c>
      <c r="D826" s="14">
        <v>1</v>
      </c>
      <c r="E826" s="16" t="s">
        <v>214</v>
      </c>
      <c r="F826" s="14">
        <f>_xlfn.XLOOKUP(E826,'Pontos de Partida'!B:B,'Pontos de Partida'!A:A)</f>
        <v>8</v>
      </c>
    </row>
    <row r="827" spans="1:6" x14ac:dyDescent="0.3">
      <c r="A827" s="14">
        <f t="shared" si="11"/>
        <v>78</v>
      </c>
      <c r="B827" s="15" t="s">
        <v>157</v>
      </c>
      <c r="C827" s="14">
        <f>_xlfn.XLOOKUP(B827,'Produtos &amp; Marcas'!B:B,'Produtos &amp; Marcas'!A:A)</f>
        <v>16</v>
      </c>
      <c r="D827" s="14">
        <v>1.5</v>
      </c>
      <c r="E827" s="16" t="s">
        <v>214</v>
      </c>
      <c r="F827" s="14">
        <f>_xlfn.XLOOKUP(E827,'Pontos de Partida'!B:B,'Pontos de Partida'!A:A)</f>
        <v>8</v>
      </c>
    </row>
    <row r="828" spans="1:6" x14ac:dyDescent="0.3">
      <c r="A828" s="14">
        <f t="shared" si="11"/>
        <v>78</v>
      </c>
      <c r="B828" s="15" t="s">
        <v>190</v>
      </c>
      <c r="C828" s="14">
        <f>_xlfn.XLOOKUP(B828,'Produtos &amp; Marcas'!B:B,'Produtos &amp; Marcas'!A:A)</f>
        <v>19</v>
      </c>
      <c r="D828" s="14">
        <v>1</v>
      </c>
      <c r="E828" s="16" t="s">
        <v>214</v>
      </c>
      <c r="F828" s="14">
        <f>_xlfn.XLOOKUP(E828,'Pontos de Partida'!B:B,'Pontos de Partida'!A:A)</f>
        <v>8</v>
      </c>
    </row>
    <row r="829" spans="1:6" x14ac:dyDescent="0.3">
      <c r="A829" s="14">
        <f t="shared" si="11"/>
        <v>78</v>
      </c>
      <c r="B829" s="15" t="s">
        <v>199</v>
      </c>
      <c r="C829" s="14">
        <f>_xlfn.XLOOKUP(B829,'Produtos &amp; Marcas'!B:B,'Produtos &amp; Marcas'!A:A)</f>
        <v>23</v>
      </c>
      <c r="D829" s="14">
        <v>3</v>
      </c>
      <c r="E829" s="16" t="s">
        <v>214</v>
      </c>
      <c r="F829" s="14">
        <f>_xlfn.XLOOKUP(E829,'Pontos de Partida'!B:B,'Pontos de Partida'!A:A)</f>
        <v>8</v>
      </c>
    </row>
    <row r="830" spans="1:6" x14ac:dyDescent="0.3">
      <c r="A830" s="14">
        <f t="shared" si="11"/>
        <v>78</v>
      </c>
      <c r="B830" s="15" t="s">
        <v>200</v>
      </c>
      <c r="C830" s="14">
        <f>_xlfn.XLOOKUP(B830,'Produtos &amp; Marcas'!B:B,'Produtos &amp; Marcas'!A:A)</f>
        <v>27</v>
      </c>
      <c r="D830" s="14">
        <v>2</v>
      </c>
      <c r="E830" s="16" t="s">
        <v>214</v>
      </c>
      <c r="F830" s="14">
        <f>_xlfn.XLOOKUP(E830,'Pontos de Partida'!B:B,'Pontos de Partida'!A:A)</f>
        <v>8</v>
      </c>
    </row>
    <row r="831" spans="1:6" x14ac:dyDescent="0.3">
      <c r="A831" s="14">
        <f t="shared" si="11"/>
        <v>78</v>
      </c>
      <c r="B831" s="15" t="s">
        <v>192</v>
      </c>
      <c r="C831" s="14">
        <f>_xlfn.XLOOKUP(B831,'Produtos &amp; Marcas'!B:B,'Produtos &amp; Marcas'!A:A)</f>
        <v>28</v>
      </c>
      <c r="D831" s="14">
        <v>1</v>
      </c>
      <c r="E831" s="16" t="s">
        <v>214</v>
      </c>
      <c r="F831" s="14">
        <f>_xlfn.XLOOKUP(E831,'Pontos de Partida'!B:B,'Pontos de Partida'!A:A)</f>
        <v>8</v>
      </c>
    </row>
    <row r="832" spans="1:6" x14ac:dyDescent="0.3">
      <c r="A832" s="14">
        <f t="shared" si="11"/>
        <v>78</v>
      </c>
      <c r="B832" s="15" t="s">
        <v>193</v>
      </c>
      <c r="C832" s="14">
        <f>_xlfn.XLOOKUP(B832,'Produtos &amp; Marcas'!B:B,'Produtos &amp; Marcas'!A:A)</f>
        <v>34</v>
      </c>
      <c r="D832" s="14">
        <v>0.2</v>
      </c>
      <c r="E832" s="16" t="s">
        <v>214</v>
      </c>
      <c r="F832" s="14">
        <f>_xlfn.XLOOKUP(E832,'Pontos de Partida'!B:B,'Pontos de Partida'!A:A)</f>
        <v>8</v>
      </c>
    </row>
    <row r="833" spans="1:6" x14ac:dyDescent="0.3">
      <c r="A833" s="14">
        <f t="shared" si="11"/>
        <v>78</v>
      </c>
      <c r="B833" s="15" t="s">
        <v>150</v>
      </c>
      <c r="C833" s="14">
        <f>_xlfn.XLOOKUP(B833,'Produtos &amp; Marcas'!B:B,'Produtos &amp; Marcas'!A:A)</f>
        <v>37</v>
      </c>
      <c r="D833" s="14">
        <v>0.5</v>
      </c>
      <c r="E833" s="16" t="s">
        <v>214</v>
      </c>
      <c r="F833" s="14">
        <f>_xlfn.XLOOKUP(E833,'Pontos de Partida'!B:B,'Pontos de Partida'!A:A)</f>
        <v>8</v>
      </c>
    </row>
    <row r="834" spans="1:6" x14ac:dyDescent="0.3">
      <c r="A834" s="14">
        <f t="shared" si="11"/>
        <v>78</v>
      </c>
      <c r="B834" s="15" t="s">
        <v>194</v>
      </c>
      <c r="C834" s="14">
        <f>_xlfn.XLOOKUP(B834,'Produtos &amp; Marcas'!B:B,'Produtos &amp; Marcas'!A:A)</f>
        <v>32</v>
      </c>
      <c r="D834" s="14">
        <v>1</v>
      </c>
      <c r="E834" s="16" t="s">
        <v>214</v>
      </c>
      <c r="F834" s="14">
        <f>_xlfn.XLOOKUP(E834,'Pontos de Partida'!B:B,'Pontos de Partida'!A:A)</f>
        <v>8</v>
      </c>
    </row>
    <row r="835" spans="1:6" x14ac:dyDescent="0.3">
      <c r="A835" s="14">
        <f t="shared" si="11"/>
        <v>79</v>
      </c>
      <c r="B835" s="15" t="s">
        <v>146</v>
      </c>
      <c r="C835" s="14">
        <f>_xlfn.XLOOKUP(B835,'Produtos &amp; Marcas'!B:B,'Produtos &amp; Marcas'!A:A)</f>
        <v>4</v>
      </c>
      <c r="D835" s="14">
        <v>3</v>
      </c>
      <c r="E835" s="16" t="s">
        <v>214</v>
      </c>
      <c r="F835" s="14">
        <f>_xlfn.XLOOKUP(E835,'Pontos de Partida'!B:B,'Pontos de Partida'!A:A)</f>
        <v>8</v>
      </c>
    </row>
    <row r="836" spans="1:6" x14ac:dyDescent="0.3">
      <c r="A836" s="14">
        <f t="shared" si="11"/>
        <v>79</v>
      </c>
      <c r="B836" s="15" t="s">
        <v>158</v>
      </c>
      <c r="C836" s="14">
        <f>_xlfn.XLOOKUP(B836,'Produtos &amp; Marcas'!B:B,'Produtos &amp; Marcas'!A:A)</f>
        <v>2</v>
      </c>
      <c r="D836" s="14">
        <v>2</v>
      </c>
      <c r="E836" s="16" t="s">
        <v>214</v>
      </c>
      <c r="F836" s="14">
        <f>_xlfn.XLOOKUP(E836,'Pontos de Partida'!B:B,'Pontos de Partida'!A:A)</f>
        <v>8</v>
      </c>
    </row>
    <row r="837" spans="1:6" x14ac:dyDescent="0.3">
      <c r="A837" s="14">
        <f t="shared" si="11"/>
        <v>79</v>
      </c>
      <c r="B837" s="15" t="s">
        <v>189</v>
      </c>
      <c r="C837" s="14">
        <f>_xlfn.XLOOKUP(B837,'Produtos &amp; Marcas'!B:B,'Produtos &amp; Marcas'!A:A)</f>
        <v>8</v>
      </c>
      <c r="D837" s="14">
        <v>0.4</v>
      </c>
      <c r="E837" s="16" t="s">
        <v>214</v>
      </c>
      <c r="F837" s="14">
        <f>_xlfn.XLOOKUP(E837,'Pontos de Partida'!B:B,'Pontos de Partida'!A:A)</f>
        <v>8</v>
      </c>
    </row>
    <row r="838" spans="1:6" x14ac:dyDescent="0.3">
      <c r="A838" s="14">
        <f t="shared" si="11"/>
        <v>79</v>
      </c>
      <c r="B838" s="15" t="s">
        <v>147</v>
      </c>
      <c r="C838" s="14">
        <f>_xlfn.XLOOKUP(B838,'Produtos &amp; Marcas'!B:B,'Produtos &amp; Marcas'!A:A)</f>
        <v>11</v>
      </c>
      <c r="D838" s="14">
        <v>0.8</v>
      </c>
      <c r="E838" s="16" t="s">
        <v>214</v>
      </c>
      <c r="F838" s="14">
        <f>_xlfn.XLOOKUP(E838,'Pontos de Partida'!B:B,'Pontos de Partida'!A:A)</f>
        <v>8</v>
      </c>
    </row>
    <row r="839" spans="1:6" x14ac:dyDescent="0.3">
      <c r="A839" s="14">
        <f t="shared" si="11"/>
        <v>79</v>
      </c>
      <c r="B839" s="15" t="s">
        <v>201</v>
      </c>
      <c r="C839" s="14">
        <f>_xlfn.XLOOKUP(B839,'Produtos &amp; Marcas'!B:B,'Produtos &amp; Marcas'!A:A)</f>
        <v>15</v>
      </c>
      <c r="D839" s="14">
        <v>1</v>
      </c>
      <c r="E839" s="16" t="s">
        <v>214</v>
      </c>
      <c r="F839" s="14">
        <f>_xlfn.XLOOKUP(E839,'Pontos de Partida'!B:B,'Pontos de Partida'!A:A)</f>
        <v>8</v>
      </c>
    </row>
    <row r="840" spans="1:6" x14ac:dyDescent="0.3">
      <c r="A840" s="14">
        <f t="shared" si="11"/>
        <v>79</v>
      </c>
      <c r="B840" s="15" t="s">
        <v>159</v>
      </c>
      <c r="C840" s="14">
        <f>_xlfn.XLOOKUP(B840,'Produtos &amp; Marcas'!B:B,'Produtos &amp; Marcas'!A:A)</f>
        <v>17</v>
      </c>
      <c r="D840" s="14">
        <v>1.5</v>
      </c>
      <c r="E840" s="16" t="s">
        <v>214</v>
      </c>
      <c r="F840" s="14">
        <f>_xlfn.XLOOKUP(E840,'Pontos de Partida'!B:B,'Pontos de Partida'!A:A)</f>
        <v>8</v>
      </c>
    </row>
    <row r="841" spans="1:6" x14ac:dyDescent="0.3">
      <c r="A841" s="14">
        <f t="shared" si="11"/>
        <v>79</v>
      </c>
      <c r="B841" s="15" t="s">
        <v>202</v>
      </c>
      <c r="C841" s="14">
        <f>_xlfn.XLOOKUP(B841,'Produtos &amp; Marcas'!B:B,'Produtos &amp; Marcas'!A:A)</f>
        <v>20</v>
      </c>
      <c r="D841" s="14">
        <v>1</v>
      </c>
      <c r="E841" s="16" t="s">
        <v>214</v>
      </c>
      <c r="F841" s="14">
        <f>_xlfn.XLOOKUP(E841,'Pontos de Partida'!B:B,'Pontos de Partida'!A:A)</f>
        <v>8</v>
      </c>
    </row>
    <row r="842" spans="1:6" x14ac:dyDescent="0.3">
      <c r="A842" s="14">
        <f t="shared" si="11"/>
        <v>79</v>
      </c>
      <c r="B842" s="15" t="s">
        <v>154</v>
      </c>
      <c r="C842" s="14">
        <f>_xlfn.XLOOKUP(B842,'Produtos &amp; Marcas'!B:B,'Produtos &amp; Marcas'!A:A)</f>
        <v>22</v>
      </c>
      <c r="D842" s="14">
        <v>3</v>
      </c>
      <c r="E842" s="16" t="s">
        <v>214</v>
      </c>
      <c r="F842" s="14">
        <f>_xlfn.XLOOKUP(E842,'Pontos de Partida'!B:B,'Pontos de Partida'!A:A)</f>
        <v>8</v>
      </c>
    </row>
    <row r="843" spans="1:6" x14ac:dyDescent="0.3">
      <c r="A843" s="14">
        <f t="shared" si="11"/>
        <v>79</v>
      </c>
      <c r="B843" s="15" t="s">
        <v>160</v>
      </c>
      <c r="C843" s="14">
        <f>_xlfn.XLOOKUP(B843,'Produtos &amp; Marcas'!B:B,'Produtos &amp; Marcas'!A:A)</f>
        <v>25</v>
      </c>
      <c r="D843" s="14">
        <v>2</v>
      </c>
      <c r="E843" s="16" t="s">
        <v>214</v>
      </c>
      <c r="F843" s="14">
        <f>_xlfn.XLOOKUP(E843,'Pontos de Partida'!B:B,'Pontos de Partida'!A:A)</f>
        <v>8</v>
      </c>
    </row>
    <row r="844" spans="1:6" x14ac:dyDescent="0.3">
      <c r="A844" s="14">
        <f t="shared" si="11"/>
        <v>79</v>
      </c>
      <c r="B844" s="15" t="s">
        <v>203</v>
      </c>
      <c r="C844" s="14">
        <f>_xlfn.XLOOKUP(B844,'Produtos &amp; Marcas'!B:B,'Produtos &amp; Marcas'!A:A)</f>
        <v>30</v>
      </c>
      <c r="D844" s="14">
        <v>1</v>
      </c>
      <c r="E844" s="16" t="s">
        <v>214</v>
      </c>
      <c r="F844" s="14">
        <f>_xlfn.XLOOKUP(E844,'Pontos de Partida'!B:B,'Pontos de Partida'!A:A)</f>
        <v>8</v>
      </c>
    </row>
    <row r="845" spans="1:6" x14ac:dyDescent="0.3">
      <c r="A845" s="14">
        <f t="shared" si="11"/>
        <v>79</v>
      </c>
      <c r="B845" s="15" t="s">
        <v>204</v>
      </c>
      <c r="C845" s="14">
        <f>_xlfn.XLOOKUP(B845,'Produtos &amp; Marcas'!B:B,'Produtos &amp; Marcas'!A:A)</f>
        <v>35</v>
      </c>
      <c r="D845" s="14">
        <v>0.2</v>
      </c>
      <c r="E845" s="16" t="s">
        <v>214</v>
      </c>
      <c r="F845" s="14">
        <f>_xlfn.XLOOKUP(E845,'Pontos de Partida'!B:B,'Pontos de Partida'!A:A)</f>
        <v>8</v>
      </c>
    </row>
    <row r="846" spans="1:6" x14ac:dyDescent="0.3">
      <c r="A846" s="14">
        <f t="shared" si="11"/>
        <v>79</v>
      </c>
      <c r="B846" s="15" t="s">
        <v>161</v>
      </c>
      <c r="C846" s="14">
        <f>_xlfn.XLOOKUP(B846,'Produtos &amp; Marcas'!B:B,'Produtos &amp; Marcas'!A:A)</f>
        <v>38</v>
      </c>
      <c r="D846" s="14">
        <v>0.5</v>
      </c>
      <c r="E846" s="16" t="s">
        <v>214</v>
      </c>
      <c r="F846" s="14">
        <f>_xlfn.XLOOKUP(E846,'Pontos de Partida'!B:B,'Pontos de Partida'!A:A)</f>
        <v>8</v>
      </c>
    </row>
    <row r="847" spans="1:6" x14ac:dyDescent="0.3">
      <c r="A847" s="14">
        <f t="shared" ref="A847:A910" si="12">A755+11</f>
        <v>79</v>
      </c>
      <c r="B847" s="15" t="s">
        <v>205</v>
      </c>
      <c r="C847" s="14">
        <f>_xlfn.XLOOKUP(B847,'Produtos &amp; Marcas'!B:B,'Produtos &amp; Marcas'!A:A)</f>
        <v>31</v>
      </c>
      <c r="D847" s="14">
        <v>1</v>
      </c>
      <c r="E847" s="16" t="s">
        <v>214</v>
      </c>
      <c r="F847" s="14">
        <f>_xlfn.XLOOKUP(E847,'Pontos de Partida'!B:B,'Pontos de Partida'!A:A)</f>
        <v>8</v>
      </c>
    </row>
    <row r="848" spans="1:6" x14ac:dyDescent="0.3">
      <c r="A848" s="14">
        <f t="shared" si="12"/>
        <v>80</v>
      </c>
      <c r="B848" s="15" t="s">
        <v>151</v>
      </c>
      <c r="C848" s="14">
        <f>_xlfn.XLOOKUP(B848,'Produtos &amp; Marcas'!B:B,'Produtos &amp; Marcas'!A:A)</f>
        <v>5</v>
      </c>
      <c r="D848" s="14">
        <v>3</v>
      </c>
      <c r="E848" s="16" t="s">
        <v>214</v>
      </c>
      <c r="F848" s="14">
        <f>_xlfn.XLOOKUP(E848,'Pontos de Partida'!B:B,'Pontos de Partida'!A:A)</f>
        <v>8</v>
      </c>
    </row>
    <row r="849" spans="1:6" x14ac:dyDescent="0.3">
      <c r="A849" s="14">
        <f t="shared" si="12"/>
        <v>80</v>
      </c>
      <c r="B849" s="15" t="s">
        <v>162</v>
      </c>
      <c r="C849" s="14">
        <f>_xlfn.XLOOKUP(B849,'Produtos &amp; Marcas'!B:B,'Produtos &amp; Marcas'!A:A)</f>
        <v>1</v>
      </c>
      <c r="D849" s="14">
        <v>2</v>
      </c>
      <c r="E849" s="16" t="s">
        <v>214</v>
      </c>
      <c r="F849" s="14">
        <f>_xlfn.XLOOKUP(E849,'Pontos de Partida'!B:B,'Pontos de Partida'!A:A)</f>
        <v>8</v>
      </c>
    </row>
    <row r="850" spans="1:6" x14ac:dyDescent="0.3">
      <c r="A850" s="14">
        <f t="shared" si="12"/>
        <v>80</v>
      </c>
      <c r="B850" s="15" t="s">
        <v>152</v>
      </c>
      <c r="C850" s="14">
        <f>_xlfn.XLOOKUP(B850,'Produtos &amp; Marcas'!B:B,'Produtos &amp; Marcas'!A:A)</f>
        <v>9</v>
      </c>
      <c r="D850" s="14">
        <v>0.4</v>
      </c>
      <c r="E850" s="16" t="s">
        <v>214</v>
      </c>
      <c r="F850" s="14">
        <f>_xlfn.XLOOKUP(E850,'Pontos de Partida'!B:B,'Pontos de Partida'!A:A)</f>
        <v>8</v>
      </c>
    </row>
    <row r="851" spans="1:6" x14ac:dyDescent="0.3">
      <c r="A851" s="14">
        <f t="shared" si="12"/>
        <v>80</v>
      </c>
      <c r="B851" s="15" t="s">
        <v>147</v>
      </c>
      <c r="C851" s="14">
        <f>_xlfn.XLOOKUP(B851,'Produtos &amp; Marcas'!B:B,'Produtos &amp; Marcas'!A:A)</f>
        <v>11</v>
      </c>
      <c r="D851" s="14">
        <v>0.8</v>
      </c>
      <c r="E851" s="16" t="s">
        <v>214</v>
      </c>
      <c r="F851" s="14">
        <f>_xlfn.XLOOKUP(E851,'Pontos de Partida'!B:B,'Pontos de Partida'!A:A)</f>
        <v>8</v>
      </c>
    </row>
    <row r="852" spans="1:6" x14ac:dyDescent="0.3">
      <c r="A852" s="14">
        <f t="shared" si="12"/>
        <v>80</v>
      </c>
      <c r="B852" s="15" t="s">
        <v>148</v>
      </c>
      <c r="C852" s="14">
        <f>_xlfn.XLOOKUP(B852,'Produtos &amp; Marcas'!B:B,'Produtos &amp; Marcas'!A:A)</f>
        <v>14</v>
      </c>
      <c r="D852" s="14">
        <v>1</v>
      </c>
      <c r="E852" s="16" t="s">
        <v>214</v>
      </c>
      <c r="F852" s="14">
        <f>_xlfn.XLOOKUP(E852,'Pontos de Partida'!B:B,'Pontos de Partida'!A:A)</f>
        <v>8</v>
      </c>
    </row>
    <row r="853" spans="1:6" x14ac:dyDescent="0.3">
      <c r="A853" s="14">
        <f t="shared" si="12"/>
        <v>80</v>
      </c>
      <c r="B853" s="15" t="s">
        <v>206</v>
      </c>
      <c r="C853" s="14">
        <f>_xlfn.XLOOKUP(B853,'Produtos &amp; Marcas'!B:B,'Produtos &amp; Marcas'!A:A)</f>
        <v>18</v>
      </c>
      <c r="D853" s="14">
        <v>1.5</v>
      </c>
      <c r="E853" s="16" t="s">
        <v>214</v>
      </c>
      <c r="F853" s="14">
        <f>_xlfn.XLOOKUP(E853,'Pontos de Partida'!B:B,'Pontos de Partida'!A:A)</f>
        <v>8</v>
      </c>
    </row>
    <row r="854" spans="1:6" x14ac:dyDescent="0.3">
      <c r="A854" s="14">
        <f t="shared" si="12"/>
        <v>80</v>
      </c>
      <c r="B854" s="15" t="s">
        <v>195</v>
      </c>
      <c r="C854" s="14">
        <f>_xlfn.XLOOKUP(B854,'Produtos &amp; Marcas'!B:B,'Produtos &amp; Marcas'!A:A)</f>
        <v>21</v>
      </c>
      <c r="D854" s="14">
        <v>1</v>
      </c>
      <c r="E854" s="16" t="s">
        <v>214</v>
      </c>
      <c r="F854" s="14">
        <f>_xlfn.XLOOKUP(E854,'Pontos de Partida'!B:B,'Pontos de Partida'!A:A)</f>
        <v>8</v>
      </c>
    </row>
    <row r="855" spans="1:6" x14ac:dyDescent="0.3">
      <c r="A855" s="14">
        <f t="shared" si="12"/>
        <v>80</v>
      </c>
      <c r="B855" s="15" t="s">
        <v>199</v>
      </c>
      <c r="C855" s="14">
        <f>_xlfn.XLOOKUP(B855,'Produtos &amp; Marcas'!B:B,'Produtos &amp; Marcas'!A:A)</f>
        <v>23</v>
      </c>
      <c r="D855" s="14">
        <v>3</v>
      </c>
      <c r="E855" s="16" t="s">
        <v>214</v>
      </c>
      <c r="F855" s="14">
        <f>_xlfn.XLOOKUP(E855,'Pontos de Partida'!B:B,'Pontos de Partida'!A:A)</f>
        <v>8</v>
      </c>
    </row>
    <row r="856" spans="1:6" x14ac:dyDescent="0.3">
      <c r="A856" s="14">
        <f t="shared" si="12"/>
        <v>80</v>
      </c>
      <c r="B856" s="15" t="s">
        <v>200</v>
      </c>
      <c r="C856" s="14">
        <f>_xlfn.XLOOKUP(B856,'Produtos &amp; Marcas'!B:B,'Produtos &amp; Marcas'!A:A)</f>
        <v>27</v>
      </c>
      <c r="D856" s="14">
        <v>2</v>
      </c>
      <c r="E856" s="16" t="s">
        <v>214</v>
      </c>
      <c r="F856" s="14">
        <f>_xlfn.XLOOKUP(E856,'Pontos de Partida'!B:B,'Pontos de Partida'!A:A)</f>
        <v>8</v>
      </c>
    </row>
    <row r="857" spans="1:6" x14ac:dyDescent="0.3">
      <c r="A857" s="14">
        <f t="shared" si="12"/>
        <v>80</v>
      </c>
      <c r="B857" s="15" t="s">
        <v>197</v>
      </c>
      <c r="C857" s="14">
        <f>_xlfn.XLOOKUP(B857,'Produtos &amp; Marcas'!B:B,'Produtos &amp; Marcas'!A:A)</f>
        <v>29</v>
      </c>
      <c r="D857" s="14">
        <v>1</v>
      </c>
      <c r="E857" s="16" t="s">
        <v>214</v>
      </c>
      <c r="F857" s="14">
        <f>_xlfn.XLOOKUP(E857,'Pontos de Partida'!B:B,'Pontos de Partida'!A:A)</f>
        <v>8</v>
      </c>
    </row>
    <row r="858" spans="1:6" x14ac:dyDescent="0.3">
      <c r="A858" s="14">
        <f t="shared" si="12"/>
        <v>80</v>
      </c>
      <c r="B858" s="15" t="s">
        <v>207</v>
      </c>
      <c r="C858" s="14">
        <f>_xlfn.XLOOKUP(B858,'Produtos &amp; Marcas'!B:B,'Produtos &amp; Marcas'!A:A)</f>
        <v>36</v>
      </c>
      <c r="D858" s="14">
        <v>0.2</v>
      </c>
      <c r="E858" s="16" t="s">
        <v>214</v>
      </c>
      <c r="F858" s="14">
        <f>_xlfn.XLOOKUP(E858,'Pontos de Partida'!B:B,'Pontos de Partida'!A:A)</f>
        <v>8</v>
      </c>
    </row>
    <row r="859" spans="1:6" x14ac:dyDescent="0.3">
      <c r="A859" s="14">
        <f t="shared" si="12"/>
        <v>80</v>
      </c>
      <c r="B859" s="15" t="s">
        <v>208</v>
      </c>
      <c r="C859" s="14">
        <f>_xlfn.XLOOKUP(B859,'Produtos &amp; Marcas'!B:B,'Produtos &amp; Marcas'!A:A)</f>
        <v>39</v>
      </c>
      <c r="D859" s="14">
        <v>0.5</v>
      </c>
      <c r="E859" s="16" t="s">
        <v>214</v>
      </c>
      <c r="F859" s="14">
        <f>_xlfn.XLOOKUP(E859,'Pontos de Partida'!B:B,'Pontos de Partida'!A:A)</f>
        <v>8</v>
      </c>
    </row>
    <row r="860" spans="1:6" x14ac:dyDescent="0.3">
      <c r="A860" s="14">
        <f t="shared" si="12"/>
        <v>80</v>
      </c>
      <c r="B860" s="15" t="s">
        <v>194</v>
      </c>
      <c r="C860" s="14">
        <f>_xlfn.XLOOKUP(B860,'Produtos &amp; Marcas'!B:B,'Produtos &amp; Marcas'!A:A)</f>
        <v>32</v>
      </c>
      <c r="D860" s="14">
        <v>1</v>
      </c>
      <c r="E860" s="16" t="s">
        <v>214</v>
      </c>
      <c r="F860" s="14">
        <f>_xlfn.XLOOKUP(E860,'Pontos de Partida'!B:B,'Pontos de Partida'!A:A)</f>
        <v>8</v>
      </c>
    </row>
    <row r="861" spans="1:6" x14ac:dyDescent="0.3">
      <c r="A861" s="14">
        <f t="shared" si="12"/>
        <v>81</v>
      </c>
      <c r="B861" s="15" t="s">
        <v>193</v>
      </c>
      <c r="C861" s="14">
        <f>_xlfn.XLOOKUP(B861,'Produtos &amp; Marcas'!B:B,'Produtos &amp; Marcas'!A:A)</f>
        <v>34</v>
      </c>
      <c r="D861" s="14">
        <v>0.2</v>
      </c>
      <c r="E861" s="16" t="s">
        <v>214</v>
      </c>
      <c r="F861" s="14">
        <f>_xlfn.XLOOKUP(E861,'Pontos de Partida'!B:B,'Pontos de Partida'!A:A)</f>
        <v>8</v>
      </c>
    </row>
    <row r="862" spans="1:6" x14ac:dyDescent="0.3">
      <c r="A862" s="14">
        <f t="shared" si="12"/>
        <v>81</v>
      </c>
      <c r="B862" s="15" t="s">
        <v>158</v>
      </c>
      <c r="C862" s="14">
        <f>_xlfn.XLOOKUP(B862,'Produtos &amp; Marcas'!B:B,'Produtos &amp; Marcas'!A:A)</f>
        <v>2</v>
      </c>
      <c r="D862" s="14">
        <v>2</v>
      </c>
      <c r="E862" s="16" t="s">
        <v>214</v>
      </c>
      <c r="F862" s="14">
        <f>_xlfn.XLOOKUP(E862,'Pontos de Partida'!B:B,'Pontos de Partida'!A:A)</f>
        <v>8</v>
      </c>
    </row>
    <row r="863" spans="1:6" x14ac:dyDescent="0.3">
      <c r="A863" s="14">
        <f t="shared" si="12"/>
        <v>81</v>
      </c>
      <c r="B863" s="15" t="s">
        <v>146</v>
      </c>
      <c r="C863" s="14">
        <f>_xlfn.XLOOKUP(B863,'Produtos &amp; Marcas'!B:B,'Produtos &amp; Marcas'!A:A)</f>
        <v>4</v>
      </c>
      <c r="D863" s="14">
        <v>3</v>
      </c>
      <c r="E863" s="16" t="s">
        <v>214</v>
      </c>
      <c r="F863" s="14">
        <f>_xlfn.XLOOKUP(E863,'Pontos de Partida'!B:B,'Pontos de Partida'!A:A)</f>
        <v>8</v>
      </c>
    </row>
    <row r="864" spans="1:6" x14ac:dyDescent="0.3">
      <c r="A864" s="14">
        <f t="shared" si="12"/>
        <v>82</v>
      </c>
      <c r="B864" s="15" t="s">
        <v>147</v>
      </c>
      <c r="C864" s="14">
        <f>_xlfn.XLOOKUP(B864,'Produtos &amp; Marcas'!B:B,'Produtos &amp; Marcas'!A:A)</f>
        <v>11</v>
      </c>
      <c r="D864" s="14">
        <v>0.8</v>
      </c>
      <c r="E864" s="16" t="s">
        <v>214</v>
      </c>
      <c r="F864" s="14">
        <f>_xlfn.XLOOKUP(E864,'Pontos de Partida'!B:B,'Pontos de Partida'!A:A)</f>
        <v>8</v>
      </c>
    </row>
    <row r="865" spans="1:6" x14ac:dyDescent="0.3">
      <c r="A865" s="14">
        <f t="shared" si="12"/>
        <v>82</v>
      </c>
      <c r="B865" s="15" t="s">
        <v>163</v>
      </c>
      <c r="C865" s="14">
        <f>_xlfn.XLOOKUP(B865,'Produtos &amp; Marcas'!B:B,'Produtos &amp; Marcas'!A:A)</f>
        <v>7</v>
      </c>
      <c r="D865" s="14">
        <v>0.4</v>
      </c>
      <c r="E865" s="16" t="s">
        <v>214</v>
      </c>
      <c r="F865" s="14">
        <f>_xlfn.XLOOKUP(E865,'Pontos de Partida'!B:B,'Pontos de Partida'!A:A)</f>
        <v>8</v>
      </c>
    </row>
    <row r="866" spans="1:6" x14ac:dyDescent="0.3">
      <c r="A866" s="14">
        <f t="shared" si="12"/>
        <v>82</v>
      </c>
      <c r="B866" s="15" t="s">
        <v>162</v>
      </c>
      <c r="C866" s="14">
        <f>_xlfn.XLOOKUP(B866,'Produtos &amp; Marcas'!B:B,'Produtos &amp; Marcas'!A:A)</f>
        <v>1</v>
      </c>
      <c r="D866" s="14">
        <v>2</v>
      </c>
      <c r="E866" s="16" t="s">
        <v>214</v>
      </c>
      <c r="F866" s="14">
        <f>_xlfn.XLOOKUP(E866,'Pontos de Partida'!B:B,'Pontos de Partida'!A:A)</f>
        <v>8</v>
      </c>
    </row>
    <row r="867" spans="1:6" x14ac:dyDescent="0.3">
      <c r="A867" s="14">
        <f t="shared" si="12"/>
        <v>82</v>
      </c>
      <c r="B867" s="15" t="s">
        <v>160</v>
      </c>
      <c r="C867" s="14">
        <f>_xlfn.XLOOKUP(B867,'Produtos &amp; Marcas'!B:B,'Produtos &amp; Marcas'!A:A)</f>
        <v>25</v>
      </c>
      <c r="D867" s="14">
        <v>2</v>
      </c>
      <c r="E867" s="16" t="s">
        <v>214</v>
      </c>
      <c r="F867" s="14">
        <f>_xlfn.XLOOKUP(E867,'Pontos de Partida'!B:B,'Pontos de Partida'!A:A)</f>
        <v>8</v>
      </c>
    </row>
    <row r="868" spans="1:6" x14ac:dyDescent="0.3">
      <c r="A868" s="14">
        <f t="shared" si="12"/>
        <v>82</v>
      </c>
      <c r="B868" s="15" t="s">
        <v>204</v>
      </c>
      <c r="C868" s="14">
        <f>_xlfn.XLOOKUP(B868,'Produtos &amp; Marcas'!B:B,'Produtos &amp; Marcas'!A:A)</f>
        <v>35</v>
      </c>
      <c r="D868" s="14">
        <v>0.2</v>
      </c>
      <c r="E868" s="16" t="s">
        <v>214</v>
      </c>
      <c r="F868" s="14">
        <f>_xlfn.XLOOKUP(E868,'Pontos de Partida'!B:B,'Pontos de Partida'!A:A)</f>
        <v>8</v>
      </c>
    </row>
    <row r="869" spans="1:6" x14ac:dyDescent="0.3">
      <c r="A869" s="14">
        <f t="shared" si="12"/>
        <v>82</v>
      </c>
      <c r="B869" s="15" t="s">
        <v>190</v>
      </c>
      <c r="C869" s="14">
        <f>_xlfn.XLOOKUP(B869,'Produtos &amp; Marcas'!B:B,'Produtos &amp; Marcas'!A:A)</f>
        <v>19</v>
      </c>
      <c r="D869" s="14">
        <v>1</v>
      </c>
      <c r="E869" s="16" t="s">
        <v>214</v>
      </c>
      <c r="F869" s="14">
        <f>_xlfn.XLOOKUP(E869,'Pontos de Partida'!B:B,'Pontos de Partida'!A:A)</f>
        <v>8</v>
      </c>
    </row>
    <row r="870" spans="1:6" x14ac:dyDescent="0.3">
      <c r="A870" s="14">
        <f t="shared" si="12"/>
        <v>82</v>
      </c>
      <c r="B870" s="15" t="s">
        <v>146</v>
      </c>
      <c r="C870" s="14">
        <f>_xlfn.XLOOKUP(B870,'Produtos &amp; Marcas'!B:B,'Produtos &amp; Marcas'!A:A)</f>
        <v>4</v>
      </c>
      <c r="D870" s="14">
        <v>3</v>
      </c>
      <c r="E870" s="16" t="s">
        <v>214</v>
      </c>
      <c r="F870" s="14">
        <f>_xlfn.XLOOKUP(E870,'Pontos de Partida'!B:B,'Pontos de Partida'!A:A)</f>
        <v>8</v>
      </c>
    </row>
    <row r="871" spans="1:6" x14ac:dyDescent="0.3">
      <c r="A871" s="14">
        <f t="shared" si="12"/>
        <v>83</v>
      </c>
      <c r="B871" s="15" t="s">
        <v>160</v>
      </c>
      <c r="C871" s="14">
        <f>_xlfn.XLOOKUP(B871,'Produtos &amp; Marcas'!B:B,'Produtos &amp; Marcas'!A:A)</f>
        <v>25</v>
      </c>
      <c r="D871" s="14">
        <v>2</v>
      </c>
      <c r="E871" s="16" t="s">
        <v>214</v>
      </c>
      <c r="F871" s="14">
        <f>_xlfn.XLOOKUP(E871,'Pontos de Partida'!B:B,'Pontos de Partida'!A:A)</f>
        <v>8</v>
      </c>
    </row>
    <row r="872" spans="1:6" x14ac:dyDescent="0.3">
      <c r="A872" s="14">
        <f t="shared" si="12"/>
        <v>83</v>
      </c>
      <c r="B872" s="15" t="s">
        <v>196</v>
      </c>
      <c r="C872" s="14">
        <f>_xlfn.XLOOKUP(B872,'Produtos &amp; Marcas'!B:B,'Produtos &amp; Marcas'!A:A)</f>
        <v>10</v>
      </c>
      <c r="D872" s="14">
        <v>0.8</v>
      </c>
      <c r="E872" s="16" t="s">
        <v>214</v>
      </c>
      <c r="F872" s="14">
        <f>_xlfn.XLOOKUP(E872,'Pontos de Partida'!B:B,'Pontos de Partida'!A:A)</f>
        <v>8</v>
      </c>
    </row>
    <row r="873" spans="1:6" x14ac:dyDescent="0.3">
      <c r="A873" s="14">
        <f t="shared" si="12"/>
        <v>83</v>
      </c>
      <c r="B873" s="15" t="s">
        <v>204</v>
      </c>
      <c r="C873" s="14">
        <f>_xlfn.XLOOKUP(B873,'Produtos &amp; Marcas'!B:B,'Produtos &amp; Marcas'!A:A)</f>
        <v>35</v>
      </c>
      <c r="D873" s="14">
        <v>0.2</v>
      </c>
      <c r="E873" s="16" t="s">
        <v>214</v>
      </c>
      <c r="F873" s="14">
        <f>_xlfn.XLOOKUP(E873,'Pontos de Partida'!B:B,'Pontos de Partida'!A:A)</f>
        <v>8</v>
      </c>
    </row>
    <row r="874" spans="1:6" x14ac:dyDescent="0.3">
      <c r="A874" s="14">
        <f t="shared" si="12"/>
        <v>83</v>
      </c>
      <c r="B874" s="15" t="s">
        <v>194</v>
      </c>
      <c r="C874" s="14">
        <f>_xlfn.XLOOKUP(B874,'Produtos &amp; Marcas'!B:B,'Produtos &amp; Marcas'!A:A)</f>
        <v>32</v>
      </c>
      <c r="D874" s="14">
        <v>1</v>
      </c>
      <c r="E874" s="16" t="s">
        <v>214</v>
      </c>
      <c r="F874" s="14">
        <f>_xlfn.XLOOKUP(E874,'Pontos de Partida'!B:B,'Pontos de Partida'!A:A)</f>
        <v>8</v>
      </c>
    </row>
    <row r="875" spans="1:6" x14ac:dyDescent="0.3">
      <c r="A875" s="14">
        <f t="shared" si="12"/>
        <v>83</v>
      </c>
      <c r="B875" s="15" t="s">
        <v>195</v>
      </c>
      <c r="C875" s="14">
        <f>_xlfn.XLOOKUP(B875,'Produtos &amp; Marcas'!B:B,'Produtos &amp; Marcas'!A:A)</f>
        <v>21</v>
      </c>
      <c r="D875" s="14">
        <v>1</v>
      </c>
      <c r="E875" s="16" t="s">
        <v>214</v>
      </c>
      <c r="F875" s="14">
        <f>_xlfn.XLOOKUP(E875,'Pontos de Partida'!B:B,'Pontos de Partida'!A:A)</f>
        <v>8</v>
      </c>
    </row>
    <row r="876" spans="1:6" x14ac:dyDescent="0.3">
      <c r="A876" s="14">
        <f t="shared" si="12"/>
        <v>83</v>
      </c>
      <c r="B876" s="15" t="s">
        <v>161</v>
      </c>
      <c r="C876" s="14">
        <f>_xlfn.XLOOKUP(B876,'Produtos &amp; Marcas'!B:B,'Produtos &amp; Marcas'!A:A)</f>
        <v>38</v>
      </c>
      <c r="D876" s="14">
        <v>0.5</v>
      </c>
      <c r="E876" s="16" t="s">
        <v>214</v>
      </c>
      <c r="F876" s="14">
        <f>_xlfn.XLOOKUP(E876,'Pontos de Partida'!B:B,'Pontos de Partida'!A:A)</f>
        <v>8</v>
      </c>
    </row>
    <row r="877" spans="1:6" x14ac:dyDescent="0.3">
      <c r="A877" s="14">
        <f t="shared" si="12"/>
        <v>83</v>
      </c>
      <c r="B877" s="15" t="s">
        <v>191</v>
      </c>
      <c r="C877" s="14">
        <f>_xlfn.XLOOKUP(B877,'Produtos &amp; Marcas'!B:B,'Produtos &amp; Marcas'!A:A)</f>
        <v>24</v>
      </c>
      <c r="D877" s="14">
        <v>3</v>
      </c>
      <c r="E877" s="16" t="s">
        <v>214</v>
      </c>
      <c r="F877" s="14">
        <f>_xlfn.XLOOKUP(E877,'Pontos de Partida'!B:B,'Pontos de Partida'!A:A)</f>
        <v>8</v>
      </c>
    </row>
    <row r="878" spans="1:6" x14ac:dyDescent="0.3">
      <c r="A878" s="14">
        <f t="shared" si="12"/>
        <v>83</v>
      </c>
      <c r="B878" s="15" t="s">
        <v>153</v>
      </c>
      <c r="C878" s="14">
        <f>_xlfn.XLOOKUP(B878,'Produtos &amp; Marcas'!B:B,'Produtos &amp; Marcas'!A:A)</f>
        <v>13</v>
      </c>
      <c r="D878" s="14">
        <v>1</v>
      </c>
      <c r="E878" s="16" t="s">
        <v>214</v>
      </c>
      <c r="F878" s="14">
        <f>_xlfn.XLOOKUP(E878,'Pontos de Partida'!B:B,'Pontos de Partida'!A:A)</f>
        <v>8</v>
      </c>
    </row>
    <row r="879" spans="1:6" x14ac:dyDescent="0.3">
      <c r="A879" s="14">
        <f t="shared" si="12"/>
        <v>83</v>
      </c>
      <c r="B879" s="15" t="s">
        <v>163</v>
      </c>
      <c r="C879" s="14">
        <f>_xlfn.XLOOKUP(B879,'Produtos &amp; Marcas'!B:B,'Produtos &amp; Marcas'!A:A)</f>
        <v>7</v>
      </c>
      <c r="D879" s="14">
        <v>0.4</v>
      </c>
      <c r="E879" s="16" t="s">
        <v>214</v>
      </c>
      <c r="F879" s="14">
        <f>_xlfn.XLOOKUP(E879,'Pontos de Partida'!B:B,'Pontos de Partida'!A:A)</f>
        <v>8</v>
      </c>
    </row>
    <row r="880" spans="1:6" x14ac:dyDescent="0.3">
      <c r="A880" s="14">
        <f t="shared" si="12"/>
        <v>83</v>
      </c>
      <c r="B880" s="15" t="s">
        <v>198</v>
      </c>
      <c r="C880" s="14">
        <f>_xlfn.XLOOKUP(B880,'Produtos &amp; Marcas'!B:B,'Produtos &amp; Marcas'!A:A)</f>
        <v>6</v>
      </c>
      <c r="D880" s="14">
        <v>3</v>
      </c>
      <c r="E880" s="16" t="s">
        <v>214</v>
      </c>
      <c r="F880" s="14">
        <f>_xlfn.XLOOKUP(E880,'Pontos de Partida'!B:B,'Pontos de Partida'!A:A)</f>
        <v>8</v>
      </c>
    </row>
    <row r="881" spans="1:6" x14ac:dyDescent="0.3">
      <c r="A881" s="14">
        <f t="shared" si="12"/>
        <v>83</v>
      </c>
      <c r="B881" s="15" t="s">
        <v>197</v>
      </c>
      <c r="C881" s="14">
        <f>_xlfn.XLOOKUP(B881,'Produtos &amp; Marcas'!B:B,'Produtos &amp; Marcas'!A:A)</f>
        <v>29</v>
      </c>
      <c r="D881" s="14">
        <v>1</v>
      </c>
      <c r="E881" s="16" t="s">
        <v>214</v>
      </c>
      <c r="F881" s="14">
        <f>_xlfn.XLOOKUP(E881,'Pontos de Partida'!B:B,'Pontos de Partida'!A:A)</f>
        <v>8</v>
      </c>
    </row>
    <row r="882" spans="1:6" x14ac:dyDescent="0.3">
      <c r="A882" s="14">
        <f t="shared" si="12"/>
        <v>83</v>
      </c>
      <c r="B882" s="15" t="s">
        <v>155</v>
      </c>
      <c r="C882" s="14">
        <f>_xlfn.XLOOKUP(B882,'Produtos &amp; Marcas'!B:B,'Produtos &amp; Marcas'!A:A)</f>
        <v>3</v>
      </c>
      <c r="D882" s="14">
        <v>2</v>
      </c>
      <c r="E882" s="16" t="s">
        <v>214</v>
      </c>
      <c r="F882" s="14">
        <f>_xlfn.XLOOKUP(E882,'Pontos de Partida'!B:B,'Pontos de Partida'!A:A)</f>
        <v>8</v>
      </c>
    </row>
    <row r="883" spans="1:6" x14ac:dyDescent="0.3">
      <c r="A883" s="14">
        <f t="shared" si="12"/>
        <v>84</v>
      </c>
      <c r="B883" s="15" t="s">
        <v>153</v>
      </c>
      <c r="C883" s="14">
        <f>_xlfn.XLOOKUP(B883,'Produtos &amp; Marcas'!B:B,'Produtos &amp; Marcas'!A:A)</f>
        <v>13</v>
      </c>
      <c r="D883" s="14">
        <v>1</v>
      </c>
      <c r="E883" s="16" t="s">
        <v>214</v>
      </c>
      <c r="F883" s="14">
        <f>_xlfn.XLOOKUP(E883,'Pontos de Partida'!B:B,'Pontos de Partida'!A:A)</f>
        <v>8</v>
      </c>
    </row>
    <row r="884" spans="1:6" x14ac:dyDescent="0.3">
      <c r="A884" s="14">
        <f t="shared" si="12"/>
        <v>84</v>
      </c>
      <c r="B884" s="15" t="s">
        <v>146</v>
      </c>
      <c r="C884" s="14">
        <f>_xlfn.XLOOKUP(B884,'Produtos &amp; Marcas'!B:B,'Produtos &amp; Marcas'!A:A)</f>
        <v>4</v>
      </c>
      <c r="D884" s="14">
        <v>3</v>
      </c>
      <c r="E884" s="16" t="s">
        <v>214</v>
      </c>
      <c r="F884" s="14">
        <f>_xlfn.XLOOKUP(E884,'Pontos de Partida'!B:B,'Pontos de Partida'!A:A)</f>
        <v>8</v>
      </c>
    </row>
    <row r="885" spans="1:6" x14ac:dyDescent="0.3">
      <c r="A885" s="14">
        <f t="shared" si="12"/>
        <v>84</v>
      </c>
      <c r="B885" s="15" t="s">
        <v>199</v>
      </c>
      <c r="C885" s="14">
        <f>_xlfn.XLOOKUP(B885,'Produtos &amp; Marcas'!B:B,'Produtos &amp; Marcas'!A:A)</f>
        <v>23</v>
      </c>
      <c r="D885" s="14">
        <v>3</v>
      </c>
      <c r="E885" s="16" t="s">
        <v>214</v>
      </c>
      <c r="F885" s="14">
        <f>_xlfn.XLOOKUP(E885,'Pontos de Partida'!B:B,'Pontos de Partida'!A:A)</f>
        <v>8</v>
      </c>
    </row>
    <row r="886" spans="1:6" x14ac:dyDescent="0.3">
      <c r="A886" s="14">
        <f t="shared" si="12"/>
        <v>84</v>
      </c>
      <c r="B886" s="15" t="s">
        <v>200</v>
      </c>
      <c r="C886" s="14">
        <f>_xlfn.XLOOKUP(B886,'Produtos &amp; Marcas'!B:B,'Produtos &amp; Marcas'!A:A)</f>
        <v>27</v>
      </c>
      <c r="D886" s="14">
        <v>2</v>
      </c>
      <c r="E886" s="16" t="s">
        <v>214</v>
      </c>
      <c r="F886" s="14">
        <f>_xlfn.XLOOKUP(E886,'Pontos de Partida'!B:B,'Pontos de Partida'!A:A)</f>
        <v>8</v>
      </c>
    </row>
    <row r="887" spans="1:6" x14ac:dyDescent="0.3">
      <c r="A887" s="14">
        <f t="shared" si="12"/>
        <v>84</v>
      </c>
      <c r="B887" s="15" t="s">
        <v>158</v>
      </c>
      <c r="C887" s="14">
        <f>_xlfn.XLOOKUP(B887,'Produtos &amp; Marcas'!B:B,'Produtos &amp; Marcas'!A:A)</f>
        <v>2</v>
      </c>
      <c r="D887" s="14">
        <v>2</v>
      </c>
      <c r="E887" s="16" t="s">
        <v>214</v>
      </c>
      <c r="F887" s="14">
        <f>_xlfn.XLOOKUP(E887,'Pontos de Partida'!B:B,'Pontos de Partida'!A:A)</f>
        <v>8</v>
      </c>
    </row>
    <row r="888" spans="1:6" x14ac:dyDescent="0.3">
      <c r="A888" s="14">
        <f t="shared" si="12"/>
        <v>85</v>
      </c>
      <c r="B888" s="15" t="s">
        <v>206</v>
      </c>
      <c r="C888" s="14">
        <f>_xlfn.XLOOKUP(B888,'Produtos &amp; Marcas'!B:B,'Produtos &amp; Marcas'!A:A)</f>
        <v>18</v>
      </c>
      <c r="D888" s="14">
        <v>1.5</v>
      </c>
      <c r="E888" s="16" t="s">
        <v>214</v>
      </c>
      <c r="F888" s="14">
        <f>_xlfn.XLOOKUP(E888,'Pontos de Partida'!B:B,'Pontos de Partida'!A:A)</f>
        <v>8</v>
      </c>
    </row>
    <row r="889" spans="1:6" x14ac:dyDescent="0.3">
      <c r="A889" s="14">
        <f t="shared" si="12"/>
        <v>85</v>
      </c>
      <c r="B889" s="15" t="s">
        <v>154</v>
      </c>
      <c r="C889" s="14">
        <f>_xlfn.XLOOKUP(B889,'Produtos &amp; Marcas'!B:B,'Produtos &amp; Marcas'!A:A)</f>
        <v>22</v>
      </c>
      <c r="D889" s="14">
        <v>3</v>
      </c>
      <c r="E889" s="16" t="s">
        <v>214</v>
      </c>
      <c r="F889" s="14">
        <f>_xlfn.XLOOKUP(E889,'Pontos de Partida'!B:B,'Pontos de Partida'!A:A)</f>
        <v>8</v>
      </c>
    </row>
    <row r="890" spans="1:6" x14ac:dyDescent="0.3">
      <c r="A890" s="14">
        <f t="shared" si="12"/>
        <v>85</v>
      </c>
      <c r="B890" s="15" t="s">
        <v>151</v>
      </c>
      <c r="C890" s="14">
        <f>_xlfn.XLOOKUP(B890,'Produtos &amp; Marcas'!B:B,'Produtos &amp; Marcas'!A:A)</f>
        <v>5</v>
      </c>
      <c r="D890" s="14">
        <v>3</v>
      </c>
      <c r="E890" s="16" t="s">
        <v>214</v>
      </c>
      <c r="F890" s="14">
        <f>_xlfn.XLOOKUP(E890,'Pontos de Partida'!B:B,'Pontos de Partida'!A:A)</f>
        <v>8</v>
      </c>
    </row>
    <row r="891" spans="1:6" x14ac:dyDescent="0.3">
      <c r="A891" s="14">
        <f t="shared" si="12"/>
        <v>85</v>
      </c>
      <c r="B891" s="15" t="s">
        <v>190</v>
      </c>
      <c r="C891" s="14">
        <f>_xlfn.XLOOKUP(B891,'Produtos &amp; Marcas'!B:B,'Produtos &amp; Marcas'!A:A)</f>
        <v>19</v>
      </c>
      <c r="D891" s="14">
        <v>1</v>
      </c>
      <c r="E891" s="16" t="s">
        <v>214</v>
      </c>
      <c r="F891" s="14">
        <f>_xlfn.XLOOKUP(E891,'Pontos de Partida'!B:B,'Pontos de Partida'!A:A)</f>
        <v>8</v>
      </c>
    </row>
    <row r="892" spans="1:6" x14ac:dyDescent="0.3">
      <c r="A892" s="14">
        <f t="shared" si="12"/>
        <v>86</v>
      </c>
      <c r="B892" s="15" t="s">
        <v>204</v>
      </c>
      <c r="C892" s="14">
        <f>_xlfn.XLOOKUP(B892,'Produtos &amp; Marcas'!B:B,'Produtos &amp; Marcas'!A:A)</f>
        <v>35</v>
      </c>
      <c r="D892" s="14">
        <v>0.2</v>
      </c>
      <c r="E892" s="16" t="s">
        <v>214</v>
      </c>
      <c r="F892" s="14">
        <f>_xlfn.XLOOKUP(E892,'Pontos de Partida'!B:B,'Pontos de Partida'!A:A)</f>
        <v>8</v>
      </c>
    </row>
    <row r="893" spans="1:6" x14ac:dyDescent="0.3">
      <c r="A893" s="14">
        <f t="shared" si="12"/>
        <v>86</v>
      </c>
      <c r="B893" s="15" t="s">
        <v>203</v>
      </c>
      <c r="C893" s="14">
        <f>_xlfn.XLOOKUP(B893,'Produtos &amp; Marcas'!B:B,'Produtos &amp; Marcas'!A:A)</f>
        <v>30</v>
      </c>
      <c r="D893" s="14">
        <v>1</v>
      </c>
      <c r="E893" s="16" t="s">
        <v>214</v>
      </c>
      <c r="F893" s="14">
        <f>_xlfn.XLOOKUP(E893,'Pontos de Partida'!B:B,'Pontos de Partida'!A:A)</f>
        <v>8</v>
      </c>
    </row>
    <row r="894" spans="1:6" x14ac:dyDescent="0.3">
      <c r="A894" s="14">
        <f t="shared" si="12"/>
        <v>86</v>
      </c>
      <c r="B894" s="15" t="s">
        <v>159</v>
      </c>
      <c r="C894" s="14">
        <f>_xlfn.XLOOKUP(B894,'Produtos &amp; Marcas'!B:B,'Produtos &amp; Marcas'!A:A)</f>
        <v>17</v>
      </c>
      <c r="D894" s="14">
        <v>1.5</v>
      </c>
      <c r="E894" s="16" t="s">
        <v>214</v>
      </c>
      <c r="F894" s="14">
        <f>_xlfn.XLOOKUP(E894,'Pontos de Partida'!B:B,'Pontos de Partida'!A:A)</f>
        <v>8</v>
      </c>
    </row>
    <row r="895" spans="1:6" x14ac:dyDescent="0.3">
      <c r="A895" s="14">
        <f t="shared" si="12"/>
        <v>86</v>
      </c>
      <c r="B895" s="15" t="s">
        <v>161</v>
      </c>
      <c r="C895" s="14">
        <f>_xlfn.XLOOKUP(B895,'Produtos &amp; Marcas'!B:B,'Produtos &amp; Marcas'!A:A)</f>
        <v>38</v>
      </c>
      <c r="D895" s="14">
        <v>0.5</v>
      </c>
      <c r="E895" s="16" t="s">
        <v>214</v>
      </c>
      <c r="F895" s="14">
        <f>_xlfn.XLOOKUP(E895,'Pontos de Partida'!B:B,'Pontos de Partida'!A:A)</f>
        <v>8</v>
      </c>
    </row>
    <row r="896" spans="1:6" x14ac:dyDescent="0.3">
      <c r="A896" s="14">
        <f t="shared" si="12"/>
        <v>87</v>
      </c>
      <c r="B896" s="15" t="s">
        <v>156</v>
      </c>
      <c r="C896" s="14">
        <f>_xlfn.XLOOKUP(B896,'Produtos &amp; Marcas'!B:B,'Produtos &amp; Marcas'!A:A)</f>
        <v>12</v>
      </c>
      <c r="D896" s="14">
        <v>0.8</v>
      </c>
      <c r="E896" s="16" t="s">
        <v>214</v>
      </c>
      <c r="F896" s="14">
        <f>_xlfn.XLOOKUP(E896,'Pontos de Partida'!B:B,'Pontos de Partida'!A:A)</f>
        <v>8</v>
      </c>
    </row>
    <row r="897" spans="1:6" x14ac:dyDescent="0.3">
      <c r="A897" s="14">
        <f t="shared" si="12"/>
        <v>87</v>
      </c>
      <c r="B897" s="15" t="s">
        <v>150</v>
      </c>
      <c r="C897" s="14">
        <f>_xlfn.XLOOKUP(B897,'Produtos &amp; Marcas'!B:B,'Produtos &amp; Marcas'!A:A)</f>
        <v>37</v>
      </c>
      <c r="D897" s="14">
        <v>0.5</v>
      </c>
      <c r="E897" s="16" t="s">
        <v>214</v>
      </c>
      <c r="F897" s="14">
        <f>_xlfn.XLOOKUP(E897,'Pontos de Partida'!B:B,'Pontos de Partida'!A:A)</f>
        <v>8</v>
      </c>
    </row>
    <row r="898" spans="1:6" x14ac:dyDescent="0.3">
      <c r="A898" s="14">
        <f t="shared" si="12"/>
        <v>87</v>
      </c>
      <c r="B898" s="15" t="s">
        <v>155</v>
      </c>
      <c r="C898" s="14">
        <f>_xlfn.XLOOKUP(B898,'Produtos &amp; Marcas'!B:B,'Produtos &amp; Marcas'!A:A)</f>
        <v>3</v>
      </c>
      <c r="D898" s="14">
        <v>2</v>
      </c>
      <c r="E898" s="16" t="s">
        <v>214</v>
      </c>
      <c r="F898" s="14">
        <f>_xlfn.XLOOKUP(E898,'Pontos de Partida'!B:B,'Pontos de Partida'!A:A)</f>
        <v>8</v>
      </c>
    </row>
    <row r="899" spans="1:6" x14ac:dyDescent="0.3">
      <c r="A899" s="14">
        <f t="shared" si="12"/>
        <v>87</v>
      </c>
      <c r="B899" s="15" t="s">
        <v>198</v>
      </c>
      <c r="C899" s="14">
        <f>_xlfn.XLOOKUP(B899,'Produtos &amp; Marcas'!B:B,'Produtos &amp; Marcas'!A:A)</f>
        <v>6</v>
      </c>
      <c r="D899" s="14">
        <v>3</v>
      </c>
      <c r="E899" s="16" t="s">
        <v>214</v>
      </c>
      <c r="F899" s="14">
        <f>_xlfn.XLOOKUP(E899,'Pontos de Partida'!B:B,'Pontos de Partida'!A:A)</f>
        <v>8</v>
      </c>
    </row>
    <row r="900" spans="1:6" x14ac:dyDescent="0.3">
      <c r="A900" s="14">
        <f t="shared" si="12"/>
        <v>87</v>
      </c>
      <c r="B900" s="15" t="s">
        <v>194</v>
      </c>
      <c r="C900" s="14">
        <f>_xlfn.XLOOKUP(B900,'Produtos &amp; Marcas'!B:B,'Produtos &amp; Marcas'!A:A)</f>
        <v>32</v>
      </c>
      <c r="D900" s="14">
        <v>1</v>
      </c>
      <c r="E900" s="16" t="s">
        <v>214</v>
      </c>
      <c r="F900" s="14">
        <f>_xlfn.XLOOKUP(E900,'Pontos de Partida'!B:B,'Pontos de Partida'!A:A)</f>
        <v>8</v>
      </c>
    </row>
    <row r="901" spans="1:6" x14ac:dyDescent="0.3">
      <c r="A901" s="14">
        <f t="shared" si="12"/>
        <v>87</v>
      </c>
      <c r="B901" s="15" t="s">
        <v>153</v>
      </c>
      <c r="C901" s="14">
        <f>_xlfn.XLOOKUP(B901,'Produtos &amp; Marcas'!B:B,'Produtos &amp; Marcas'!A:A)</f>
        <v>13</v>
      </c>
      <c r="D901" s="14">
        <v>1</v>
      </c>
      <c r="E901" s="16" t="s">
        <v>214</v>
      </c>
      <c r="F901" s="14">
        <f>_xlfn.XLOOKUP(E901,'Pontos de Partida'!B:B,'Pontos de Partida'!A:A)</f>
        <v>8</v>
      </c>
    </row>
    <row r="902" spans="1:6" x14ac:dyDescent="0.3">
      <c r="A902" s="14">
        <f t="shared" si="12"/>
        <v>87</v>
      </c>
      <c r="B902" s="15" t="s">
        <v>192</v>
      </c>
      <c r="C902" s="14">
        <f>_xlfn.XLOOKUP(B902,'Produtos &amp; Marcas'!B:B,'Produtos &amp; Marcas'!A:A)</f>
        <v>28</v>
      </c>
      <c r="D902" s="14">
        <v>1</v>
      </c>
      <c r="E902" s="16" t="s">
        <v>214</v>
      </c>
      <c r="F902" s="14">
        <f>_xlfn.XLOOKUP(E902,'Pontos de Partida'!B:B,'Pontos de Partida'!A:A)</f>
        <v>8</v>
      </c>
    </row>
    <row r="903" spans="1:6" x14ac:dyDescent="0.3">
      <c r="A903" s="14">
        <f t="shared" si="12"/>
        <v>87</v>
      </c>
      <c r="B903" s="15" t="s">
        <v>193</v>
      </c>
      <c r="C903" s="14">
        <f>_xlfn.XLOOKUP(B903,'Produtos &amp; Marcas'!B:B,'Produtos &amp; Marcas'!A:A)</f>
        <v>34</v>
      </c>
      <c r="D903" s="14">
        <v>0.2</v>
      </c>
      <c r="E903" s="16" t="s">
        <v>214</v>
      </c>
      <c r="F903" s="14">
        <f>_xlfn.XLOOKUP(E903,'Pontos de Partida'!B:B,'Pontos de Partida'!A:A)</f>
        <v>8</v>
      </c>
    </row>
    <row r="904" spans="1:6" x14ac:dyDescent="0.3">
      <c r="A904" s="14">
        <f t="shared" si="12"/>
        <v>87</v>
      </c>
      <c r="B904" s="15" t="s">
        <v>190</v>
      </c>
      <c r="C904" s="14">
        <f>_xlfn.XLOOKUP(B904,'Produtos &amp; Marcas'!B:B,'Produtos &amp; Marcas'!A:A)</f>
        <v>19</v>
      </c>
      <c r="D904" s="14">
        <v>1</v>
      </c>
      <c r="E904" s="16" t="s">
        <v>214</v>
      </c>
      <c r="F904" s="14">
        <f>_xlfn.XLOOKUP(E904,'Pontos de Partida'!B:B,'Pontos de Partida'!A:A)</f>
        <v>8</v>
      </c>
    </row>
    <row r="905" spans="1:6" x14ac:dyDescent="0.3">
      <c r="A905" s="14">
        <f t="shared" si="12"/>
        <v>87</v>
      </c>
      <c r="B905" s="15" t="s">
        <v>200</v>
      </c>
      <c r="C905" s="14">
        <f>_xlfn.XLOOKUP(B905,'Produtos &amp; Marcas'!B:B,'Produtos &amp; Marcas'!A:A)</f>
        <v>27</v>
      </c>
      <c r="D905" s="14">
        <v>2</v>
      </c>
      <c r="E905" s="16" t="s">
        <v>214</v>
      </c>
      <c r="F905" s="14">
        <f>_xlfn.XLOOKUP(E905,'Pontos de Partida'!B:B,'Pontos de Partida'!A:A)</f>
        <v>8</v>
      </c>
    </row>
    <row r="906" spans="1:6" x14ac:dyDescent="0.3">
      <c r="A906" s="14">
        <f t="shared" si="12"/>
        <v>88</v>
      </c>
      <c r="B906" s="15" t="s">
        <v>148</v>
      </c>
      <c r="C906" s="14">
        <f>_xlfn.XLOOKUP(B906,'Produtos &amp; Marcas'!B:B,'Produtos &amp; Marcas'!A:A)</f>
        <v>14</v>
      </c>
      <c r="D906" s="14">
        <v>1</v>
      </c>
      <c r="E906" s="16" t="s">
        <v>214</v>
      </c>
      <c r="F906" s="14">
        <f>_xlfn.XLOOKUP(E906,'Pontos de Partida'!B:B,'Pontos de Partida'!A:A)</f>
        <v>8</v>
      </c>
    </row>
    <row r="907" spans="1:6" x14ac:dyDescent="0.3">
      <c r="A907" s="14">
        <f t="shared" si="12"/>
        <v>88</v>
      </c>
      <c r="B907" s="15" t="s">
        <v>199</v>
      </c>
      <c r="C907" s="14">
        <f>_xlfn.XLOOKUP(B907,'Produtos &amp; Marcas'!B:B,'Produtos &amp; Marcas'!A:A)</f>
        <v>23</v>
      </c>
      <c r="D907" s="14">
        <v>3</v>
      </c>
      <c r="E907" s="16" t="s">
        <v>214</v>
      </c>
      <c r="F907" s="14">
        <f>_xlfn.XLOOKUP(E907,'Pontos de Partida'!B:B,'Pontos de Partida'!A:A)</f>
        <v>8</v>
      </c>
    </row>
    <row r="908" spans="1:6" x14ac:dyDescent="0.3">
      <c r="A908" s="14">
        <f t="shared" si="12"/>
        <v>88</v>
      </c>
      <c r="B908" s="15" t="s">
        <v>207</v>
      </c>
      <c r="C908" s="14">
        <f>_xlfn.XLOOKUP(B908,'Produtos &amp; Marcas'!B:B,'Produtos &amp; Marcas'!A:A)</f>
        <v>36</v>
      </c>
      <c r="D908" s="14">
        <v>0.2</v>
      </c>
      <c r="E908" s="16" t="s">
        <v>214</v>
      </c>
      <c r="F908" s="14">
        <f>_xlfn.XLOOKUP(E908,'Pontos de Partida'!B:B,'Pontos de Partida'!A:A)</f>
        <v>8</v>
      </c>
    </row>
    <row r="909" spans="1:6" x14ac:dyDescent="0.3">
      <c r="A909" s="14">
        <f t="shared" si="12"/>
        <v>88</v>
      </c>
      <c r="B909" s="15" t="s">
        <v>159</v>
      </c>
      <c r="C909" s="14">
        <f>_xlfn.XLOOKUP(B909,'Produtos &amp; Marcas'!B:B,'Produtos &amp; Marcas'!A:A)</f>
        <v>17</v>
      </c>
      <c r="D909" s="14">
        <v>1.5</v>
      </c>
      <c r="E909" s="16" t="s">
        <v>214</v>
      </c>
      <c r="F909" s="14">
        <f>_xlfn.XLOOKUP(E909,'Pontos de Partida'!B:B,'Pontos de Partida'!A:A)</f>
        <v>8</v>
      </c>
    </row>
    <row r="910" spans="1:6" x14ac:dyDescent="0.3">
      <c r="A910" s="14">
        <f t="shared" si="12"/>
        <v>88</v>
      </c>
      <c r="B910" s="15" t="s">
        <v>189</v>
      </c>
      <c r="C910" s="14">
        <f>_xlfn.XLOOKUP(B910,'Produtos &amp; Marcas'!B:B,'Produtos &amp; Marcas'!A:A)</f>
        <v>8</v>
      </c>
      <c r="D910" s="14">
        <v>0.4</v>
      </c>
      <c r="E910" s="16" t="s">
        <v>214</v>
      </c>
      <c r="F910" s="14">
        <f>_xlfn.XLOOKUP(E910,'Pontos de Partida'!B:B,'Pontos de Partida'!A:A)</f>
        <v>8</v>
      </c>
    </row>
    <row r="911" spans="1:6" x14ac:dyDescent="0.3">
      <c r="A911" s="14">
        <f t="shared" ref="A911:A913" si="13">A819+11</f>
        <v>88</v>
      </c>
      <c r="B911" s="15" t="s">
        <v>197</v>
      </c>
      <c r="C911" s="14">
        <f>_xlfn.XLOOKUP(B911,'Produtos &amp; Marcas'!B:B,'Produtos &amp; Marcas'!A:A)</f>
        <v>29</v>
      </c>
      <c r="D911" s="14">
        <v>1</v>
      </c>
      <c r="E911" s="16" t="s">
        <v>214</v>
      </c>
      <c r="F911" s="14">
        <f>_xlfn.XLOOKUP(E911,'Pontos de Partida'!B:B,'Pontos de Partida'!A:A)</f>
        <v>8</v>
      </c>
    </row>
    <row r="912" spans="1:6" x14ac:dyDescent="0.3">
      <c r="A912" s="14">
        <f t="shared" si="13"/>
        <v>88</v>
      </c>
      <c r="B912" s="15" t="s">
        <v>200</v>
      </c>
      <c r="C912" s="14">
        <f>_xlfn.XLOOKUP(B912,'Produtos &amp; Marcas'!B:B,'Produtos &amp; Marcas'!A:A)</f>
        <v>27</v>
      </c>
      <c r="D912" s="14">
        <v>2</v>
      </c>
      <c r="E912" s="16" t="s">
        <v>214</v>
      </c>
      <c r="F912" s="14">
        <f>_xlfn.XLOOKUP(E912,'Pontos de Partida'!B:B,'Pontos de Partida'!A:A)</f>
        <v>8</v>
      </c>
    </row>
    <row r="913" spans="1:6" x14ac:dyDescent="0.3">
      <c r="A913" s="14">
        <f t="shared" si="13"/>
        <v>88</v>
      </c>
      <c r="B913" s="15" t="s">
        <v>158</v>
      </c>
      <c r="C913" s="14">
        <f>_xlfn.XLOOKUP(B913,'Produtos &amp; Marcas'!B:B,'Produtos &amp; Marcas'!A:A)</f>
        <v>2</v>
      </c>
      <c r="D913" s="14">
        <v>2</v>
      </c>
      <c r="E913" s="16" t="s">
        <v>214</v>
      </c>
      <c r="F913" s="14">
        <f>_xlfn.XLOOKUP(E913,'Pontos de Partida'!B:B,'Pontos de Partida'!A:A)</f>
        <v>8</v>
      </c>
    </row>
  </sheetData>
  <autoFilter ref="A1:F913" xr:uid="{E466B151-2F38-4733-A419-350BBB76B259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061699-76F7-428C-9119-D56226E8D52C}">
          <x14:formula1>
            <xm:f>'Produtos &amp; Marcas'!$B$2:$B$40</xm:f>
          </x14:formula1>
          <xm:sqref>B2:B177</xm:sqref>
        </x14:dataValidation>
        <x14:dataValidation type="list" allowBlank="1" showInputMessage="1" showErrorMessage="1" xr:uid="{CAAD3254-9343-4798-9D75-73DDD1A9F484}">
          <x14:formula1>
            <xm:f>'Pontos de Partida'!$B$2:$B$9</xm:f>
          </x14:formula1>
          <xm:sqref>E362:E913 E2:E177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8038-C5F5-49FB-AC4D-5745B86FB36C}">
  <dimension ref="A1:G26"/>
  <sheetViews>
    <sheetView zoomScale="85" zoomScaleNormal="85" workbookViewId="0">
      <selection activeCell="C19" sqref="C19"/>
    </sheetView>
  </sheetViews>
  <sheetFormatPr defaultColWidth="25.33203125" defaultRowHeight="14.4" x14ac:dyDescent="0.3"/>
  <sheetData>
    <row r="1" spans="1:7" x14ac:dyDescent="0.3">
      <c r="A1" t="s">
        <v>5</v>
      </c>
      <c r="B1" t="s">
        <v>8</v>
      </c>
      <c r="C1" t="s">
        <v>4</v>
      </c>
      <c r="D1" t="s">
        <v>6</v>
      </c>
      <c r="E1" t="s">
        <v>7</v>
      </c>
      <c r="F1" t="s">
        <v>19</v>
      </c>
      <c r="G1" t="s">
        <v>12</v>
      </c>
    </row>
    <row r="2" spans="1:7" x14ac:dyDescent="0.3">
      <c r="A2" t="s">
        <v>9</v>
      </c>
      <c r="B2" t="s">
        <v>10</v>
      </c>
      <c r="C2">
        <v>1</v>
      </c>
      <c r="D2" t="str">
        <f>VLOOKUP(C2,'Base Mercado'!A:C,2,0)</f>
        <v>União</v>
      </c>
      <c r="E2" s="1">
        <v>6.99</v>
      </c>
      <c r="F2" s="2">
        <v>400</v>
      </c>
    </row>
    <row r="3" spans="1:7" x14ac:dyDescent="0.3">
      <c r="A3" t="s">
        <v>9</v>
      </c>
      <c r="B3" t="s">
        <v>10</v>
      </c>
      <c r="C3">
        <v>2</v>
      </c>
      <c r="D3" t="str">
        <f>VLOOKUP(C3,'Base Mercado'!A:C,2,0)</f>
        <v>Mendonça</v>
      </c>
      <c r="E3" s="1">
        <v>7.49</v>
      </c>
      <c r="F3" s="2">
        <v>400</v>
      </c>
    </row>
    <row r="4" spans="1:7" x14ac:dyDescent="0.3">
      <c r="A4" t="s">
        <v>9</v>
      </c>
      <c r="B4" t="s">
        <v>10</v>
      </c>
      <c r="C4">
        <v>3</v>
      </c>
      <c r="D4" t="str">
        <f>VLOOKUP(C4,'Base Mercado'!A:C,2,0)</f>
        <v>União</v>
      </c>
      <c r="E4" s="1">
        <v>7.15</v>
      </c>
      <c r="F4" s="2">
        <v>400</v>
      </c>
    </row>
    <row r="5" spans="1:7" x14ac:dyDescent="0.3">
      <c r="A5" t="s">
        <v>9</v>
      </c>
      <c r="B5" t="s">
        <v>10</v>
      </c>
      <c r="C5">
        <v>4</v>
      </c>
      <c r="D5" t="str">
        <f>VLOOKUP(C5,'Base Mercado'!A:C,2,0)</f>
        <v>Mendonça</v>
      </c>
      <c r="E5" s="1">
        <v>5.49</v>
      </c>
      <c r="F5" s="2">
        <v>400</v>
      </c>
    </row>
    <row r="6" spans="1:7" x14ac:dyDescent="0.3">
      <c r="A6" t="s">
        <v>9</v>
      </c>
      <c r="B6" t="s">
        <v>10</v>
      </c>
      <c r="C6">
        <v>5</v>
      </c>
      <c r="D6" t="str">
        <f>VLOOKUP(C6,'Base Mercado'!A:C,2,0)</f>
        <v>Comercial Esperança</v>
      </c>
      <c r="E6" s="1">
        <v>8.99</v>
      </c>
      <c r="F6" s="2">
        <v>400</v>
      </c>
    </row>
    <row r="7" spans="1:7" x14ac:dyDescent="0.3">
      <c r="A7" t="s">
        <v>13</v>
      </c>
      <c r="B7" t="s">
        <v>14</v>
      </c>
      <c r="C7">
        <v>1</v>
      </c>
      <c r="D7" t="str">
        <f>VLOOKUP(C7,'Base Mercado'!A:C,2,0)</f>
        <v>União</v>
      </c>
      <c r="E7" s="1">
        <v>33.5</v>
      </c>
      <c r="F7" s="2">
        <v>500</v>
      </c>
    </row>
    <row r="8" spans="1:7" x14ac:dyDescent="0.3">
      <c r="A8" t="s">
        <v>13</v>
      </c>
      <c r="B8" t="s">
        <v>14</v>
      </c>
      <c r="C8">
        <v>2</v>
      </c>
      <c r="D8" t="str">
        <f>VLOOKUP(C8,'Base Mercado'!A:C,2,0)</f>
        <v>Mendonça</v>
      </c>
      <c r="E8" s="1">
        <v>35.75</v>
      </c>
      <c r="F8" s="2">
        <v>500</v>
      </c>
    </row>
    <row r="9" spans="1:7" x14ac:dyDescent="0.3">
      <c r="A9" t="s">
        <v>13</v>
      </c>
      <c r="B9" t="s">
        <v>14</v>
      </c>
      <c r="C9">
        <v>3</v>
      </c>
      <c r="D9" t="str">
        <f>VLOOKUP(C9,'Base Mercado'!A:C,2,0)</f>
        <v>União</v>
      </c>
      <c r="E9" s="1">
        <v>34.6</v>
      </c>
      <c r="F9" s="2">
        <v>500</v>
      </c>
    </row>
    <row r="10" spans="1:7" x14ac:dyDescent="0.3">
      <c r="A10" t="s">
        <v>13</v>
      </c>
      <c r="B10" t="s">
        <v>14</v>
      </c>
      <c r="C10">
        <v>4</v>
      </c>
      <c r="D10" t="str">
        <f>VLOOKUP(C10,'Base Mercado'!A:C,2,0)</f>
        <v>Mendonça</v>
      </c>
      <c r="E10" s="1">
        <v>31.9</v>
      </c>
      <c r="F10" s="2">
        <v>500</v>
      </c>
    </row>
    <row r="11" spans="1:7" x14ac:dyDescent="0.3">
      <c r="A11" t="s">
        <v>13</v>
      </c>
      <c r="B11" t="s">
        <v>14</v>
      </c>
      <c r="C11">
        <v>5</v>
      </c>
      <c r="D11" t="str">
        <f>VLOOKUP(C11,'Base Mercado'!A:C,2,0)</f>
        <v>Comercial Esperança</v>
      </c>
      <c r="E11" s="1">
        <v>29.75</v>
      </c>
      <c r="F11" s="2">
        <v>500</v>
      </c>
    </row>
    <row r="12" spans="1:7" x14ac:dyDescent="0.3">
      <c r="A12" t="s">
        <v>15</v>
      </c>
      <c r="B12" t="s">
        <v>16</v>
      </c>
      <c r="C12">
        <v>1</v>
      </c>
      <c r="D12" t="str">
        <f>VLOOKUP(C12,'Base Mercado'!A:C,2,0)</f>
        <v>União</v>
      </c>
      <c r="E12" s="1">
        <v>3.89</v>
      </c>
      <c r="F12" s="2">
        <v>1000</v>
      </c>
    </row>
    <row r="13" spans="1:7" x14ac:dyDescent="0.3">
      <c r="A13" t="s">
        <v>15</v>
      </c>
      <c r="B13" t="s">
        <v>16</v>
      </c>
      <c r="C13">
        <v>2</v>
      </c>
      <c r="D13" t="str">
        <f>VLOOKUP(C13,'Base Mercado'!A:C,2,0)</f>
        <v>Mendonça</v>
      </c>
      <c r="E13" s="1">
        <v>4.25</v>
      </c>
      <c r="F13" s="2">
        <v>1000</v>
      </c>
    </row>
    <row r="14" spans="1:7" x14ac:dyDescent="0.3">
      <c r="A14" t="s">
        <v>15</v>
      </c>
      <c r="B14" t="s">
        <v>16</v>
      </c>
      <c r="C14">
        <v>3</v>
      </c>
      <c r="D14" t="str">
        <f>VLOOKUP(C14,'Base Mercado'!A:C,2,0)</f>
        <v>União</v>
      </c>
      <c r="E14" s="1">
        <v>4.1900000000000004</v>
      </c>
      <c r="F14" s="2">
        <v>1000</v>
      </c>
    </row>
    <row r="15" spans="1:7" x14ac:dyDescent="0.3">
      <c r="A15" t="s">
        <v>15</v>
      </c>
      <c r="B15" t="s">
        <v>16</v>
      </c>
      <c r="C15">
        <v>4</v>
      </c>
      <c r="D15" t="str">
        <f>VLOOKUP(C15,'Base Mercado'!A:C,2,0)</f>
        <v>Mendonça</v>
      </c>
      <c r="E15" s="1">
        <v>4</v>
      </c>
      <c r="F15" s="2">
        <v>1000</v>
      </c>
    </row>
    <row r="16" spans="1:7" x14ac:dyDescent="0.3">
      <c r="A16" t="s">
        <v>15</v>
      </c>
      <c r="B16" t="s">
        <v>16</v>
      </c>
      <c r="C16">
        <v>5</v>
      </c>
      <c r="D16" t="str">
        <f>VLOOKUP(C16,'Base Mercado'!A:C,2,0)</f>
        <v>Comercial Esperança</v>
      </c>
      <c r="E16" s="1">
        <v>5.0999999999999996</v>
      </c>
      <c r="F16" s="2">
        <v>1000</v>
      </c>
    </row>
    <row r="17" spans="1:6" x14ac:dyDescent="0.3">
      <c r="A17" t="s">
        <v>17</v>
      </c>
      <c r="B17" t="s">
        <v>18</v>
      </c>
      <c r="C17">
        <v>1</v>
      </c>
      <c r="D17" t="str">
        <f>VLOOKUP(C17,'Base Mercado'!A:C,2,0)</f>
        <v>União</v>
      </c>
      <c r="E17" s="1">
        <v>2.59</v>
      </c>
      <c r="F17" s="2">
        <v>1000</v>
      </c>
    </row>
    <row r="18" spans="1:6" x14ac:dyDescent="0.3">
      <c r="A18" t="s">
        <v>17</v>
      </c>
      <c r="B18" t="s">
        <v>18</v>
      </c>
      <c r="C18">
        <v>2</v>
      </c>
      <c r="D18" t="str">
        <f>VLOOKUP(C18,'Base Mercado'!A:C,2,0)</f>
        <v>Mendonça</v>
      </c>
      <c r="E18" s="1">
        <v>2.74</v>
      </c>
      <c r="F18" s="2">
        <v>1000</v>
      </c>
    </row>
    <row r="19" spans="1:6" x14ac:dyDescent="0.3">
      <c r="A19" t="s">
        <v>17</v>
      </c>
      <c r="B19" t="s">
        <v>18</v>
      </c>
      <c r="C19">
        <v>3</v>
      </c>
      <c r="D19" t="str">
        <f>VLOOKUP(C19,'Base Mercado'!A:C,2,0)</f>
        <v>União</v>
      </c>
      <c r="E19" s="1">
        <v>1.99</v>
      </c>
      <c r="F19" s="2">
        <v>1000</v>
      </c>
    </row>
    <row r="20" spans="1:6" x14ac:dyDescent="0.3">
      <c r="A20" t="s">
        <v>17</v>
      </c>
      <c r="B20" t="s">
        <v>18</v>
      </c>
      <c r="C20">
        <v>4</v>
      </c>
      <c r="D20" t="str">
        <f>VLOOKUP(C20,'Base Mercado'!A:C,2,0)</f>
        <v>Mendonça</v>
      </c>
      <c r="E20" s="1">
        <v>2.64</v>
      </c>
      <c r="F20" s="2">
        <v>1000</v>
      </c>
    </row>
    <row r="21" spans="1:6" x14ac:dyDescent="0.3">
      <c r="A21" t="s">
        <v>17</v>
      </c>
      <c r="B21" t="s">
        <v>18</v>
      </c>
      <c r="C21">
        <v>5</v>
      </c>
      <c r="D21" t="str">
        <f>VLOOKUP(C21,'Base Mercado'!A:C,2,0)</f>
        <v>Comercial Esperança</v>
      </c>
      <c r="E21" s="1">
        <v>2.66</v>
      </c>
      <c r="F21" s="2">
        <v>1000</v>
      </c>
    </row>
    <row r="22" spans="1:6" x14ac:dyDescent="0.3">
      <c r="A22" t="s">
        <v>20</v>
      </c>
      <c r="B22" t="s">
        <v>21</v>
      </c>
      <c r="C22">
        <v>1</v>
      </c>
      <c r="D22" t="str">
        <f>VLOOKUP(C22,'Base Mercado'!A:C,2,0)</f>
        <v>União</v>
      </c>
      <c r="E22" s="1">
        <v>25</v>
      </c>
      <c r="F22" s="2">
        <v>1000</v>
      </c>
    </row>
    <row r="23" spans="1:6" x14ac:dyDescent="0.3">
      <c r="A23" t="s">
        <v>20</v>
      </c>
      <c r="B23" t="s">
        <v>21</v>
      </c>
      <c r="C23">
        <v>2</v>
      </c>
      <c r="D23" t="str">
        <f>VLOOKUP(C23,'Base Mercado'!A:C,2,0)</f>
        <v>Mendonça</v>
      </c>
      <c r="E23" s="1">
        <v>26.45</v>
      </c>
      <c r="F23" s="2">
        <v>1000</v>
      </c>
    </row>
    <row r="24" spans="1:6" x14ac:dyDescent="0.3">
      <c r="A24" t="s">
        <v>20</v>
      </c>
      <c r="B24" t="s">
        <v>21</v>
      </c>
      <c r="C24">
        <v>3</v>
      </c>
      <c r="D24" t="str">
        <f>VLOOKUP(C24,'Base Mercado'!A:C,2,0)</f>
        <v>União</v>
      </c>
      <c r="E24" s="1">
        <v>25.49</v>
      </c>
      <c r="F24" s="2">
        <v>1000</v>
      </c>
    </row>
    <row r="25" spans="1:6" x14ac:dyDescent="0.3">
      <c r="A25" t="s">
        <v>20</v>
      </c>
      <c r="B25" t="s">
        <v>21</v>
      </c>
      <c r="C25">
        <v>4</v>
      </c>
      <c r="D25" t="str">
        <f>VLOOKUP(C25,'Base Mercado'!A:C,2,0)</f>
        <v>Mendonça</v>
      </c>
      <c r="E25" s="1">
        <v>29.32</v>
      </c>
      <c r="F25" s="2">
        <v>1000</v>
      </c>
    </row>
    <row r="26" spans="1:6" x14ac:dyDescent="0.3">
      <c r="A26" t="s">
        <v>20</v>
      </c>
      <c r="B26" t="s">
        <v>21</v>
      </c>
      <c r="C26">
        <v>5</v>
      </c>
      <c r="D26" t="str">
        <f>VLOOKUP(C26,'Base Mercado'!A:C,2,0)</f>
        <v>Comercial Esperança</v>
      </c>
      <c r="E26" s="1">
        <v>22.69</v>
      </c>
      <c r="F26" s="2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5C98-54DA-416E-8DD1-C93BF7594284}">
  <dimension ref="A1:E6"/>
  <sheetViews>
    <sheetView workbookViewId="0">
      <selection activeCell="B28" sqref="B28"/>
    </sheetView>
  </sheetViews>
  <sheetFormatPr defaultRowHeight="14.4" x14ac:dyDescent="0.3"/>
  <cols>
    <col min="1" max="1" width="14.5546875" customWidth="1"/>
    <col min="2" max="2" width="11.88671875" customWidth="1"/>
    <col min="3" max="3" width="22.21875" customWidth="1"/>
  </cols>
  <sheetData>
    <row r="1" spans="1:5" x14ac:dyDescent="0.3">
      <c r="A1" t="s">
        <v>5</v>
      </c>
      <c r="B1" t="s">
        <v>8</v>
      </c>
      <c r="C1" t="s">
        <v>11</v>
      </c>
      <c r="D1" t="s">
        <v>24</v>
      </c>
      <c r="E1" t="s">
        <v>23</v>
      </c>
    </row>
    <row r="2" spans="1:5" x14ac:dyDescent="0.3">
      <c r="A2" t="s">
        <v>9</v>
      </c>
      <c r="B2" t="s">
        <v>10</v>
      </c>
      <c r="C2" t="s">
        <v>22</v>
      </c>
      <c r="D2">
        <v>2</v>
      </c>
      <c r="E2">
        <v>3</v>
      </c>
    </row>
    <row r="3" spans="1:5" x14ac:dyDescent="0.3">
      <c r="A3" t="s">
        <v>13</v>
      </c>
      <c r="B3" t="s">
        <v>14</v>
      </c>
      <c r="C3" t="s">
        <v>22</v>
      </c>
      <c r="D3">
        <v>5</v>
      </c>
      <c r="E3">
        <v>2</v>
      </c>
    </row>
    <row r="4" spans="1:5" x14ac:dyDescent="0.3">
      <c r="A4" t="s">
        <v>15</v>
      </c>
      <c r="B4" t="s">
        <v>16</v>
      </c>
      <c r="C4" t="s">
        <v>22</v>
      </c>
      <c r="D4">
        <v>5</v>
      </c>
      <c r="E4">
        <v>1</v>
      </c>
    </row>
    <row r="5" spans="1:5" x14ac:dyDescent="0.3">
      <c r="A5" t="s">
        <v>17</v>
      </c>
      <c r="B5" t="s">
        <v>18</v>
      </c>
      <c r="C5" t="s">
        <v>22</v>
      </c>
      <c r="D5">
        <v>1</v>
      </c>
      <c r="E5">
        <v>5</v>
      </c>
    </row>
    <row r="6" spans="1:5" x14ac:dyDescent="0.3">
      <c r="A6" t="s">
        <v>20</v>
      </c>
      <c r="B6" t="s">
        <v>21</v>
      </c>
      <c r="C6" t="s">
        <v>22</v>
      </c>
      <c r="D6">
        <v>3</v>
      </c>
      <c r="E6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Mercado</vt:lpstr>
      <vt:lpstr>Pontos de Partida</vt:lpstr>
      <vt:lpstr>Produtos &amp; Marcas</vt:lpstr>
      <vt:lpstr>Produtos &amp; Mercados</vt:lpstr>
      <vt:lpstr>Compras</vt:lpstr>
      <vt:lpstr>Base Produtos OLD</vt:lpstr>
      <vt:lpstr>Lista Produtos Cliente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Henrique Bufolo Cardoso</dc:creator>
  <cp:lastModifiedBy>Bruno Henrique Bufolo Cardoso</cp:lastModifiedBy>
  <dcterms:created xsi:type="dcterms:W3CDTF">2015-06-05T18:19:34Z</dcterms:created>
  <dcterms:modified xsi:type="dcterms:W3CDTF">2026-09-29T22:34:30Z</dcterms:modified>
</cp:coreProperties>
</file>